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embeddings/oleObject1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ЭтаКнига" defaultThemeVersion="124226"/>
  <bookViews>
    <workbookView xWindow="0" yWindow="0" windowWidth="15345" windowHeight="4545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calcPr calcId="125725" refMode="R1C1"/>
</workbook>
</file>

<file path=xl/calcChain.xml><?xml version="1.0" encoding="utf-8"?>
<calcChain xmlns="http://schemas.openxmlformats.org/spreadsheetml/2006/main">
  <c r="I32" i="1"/>
  <c r="F32"/>
  <c r="C32"/>
  <c r="A32"/>
  <c r="J32" s="1"/>
  <c r="I31"/>
  <c r="C31"/>
  <c r="A31"/>
  <c r="J31" s="1"/>
  <c r="I30"/>
  <c r="C30"/>
  <c r="F30" s="1"/>
  <c r="A30"/>
  <c r="J30" s="1"/>
  <c r="I29"/>
  <c r="C29"/>
  <c r="F29" s="1"/>
  <c r="A29"/>
  <c r="J29" s="1"/>
  <c r="I28"/>
  <c r="C28"/>
  <c r="F28" s="1"/>
  <c r="A28"/>
  <c r="J28" s="1"/>
  <c r="I27"/>
  <c r="C27"/>
  <c r="F27" s="1"/>
  <c r="A27"/>
  <c r="J27" s="1"/>
  <c r="I26"/>
  <c r="C26"/>
  <c r="F26" s="1"/>
  <c r="A26"/>
  <c r="J26" s="1"/>
  <c r="I25"/>
  <c r="C25"/>
  <c r="F25" s="1"/>
  <c r="A25"/>
  <c r="J25" s="1"/>
  <c r="I24"/>
  <c r="C24"/>
  <c r="F24" s="1"/>
  <c r="A24"/>
  <c r="J24" s="1"/>
  <c r="I23"/>
  <c r="F23"/>
  <c r="C23"/>
  <c r="A23"/>
  <c r="J23" s="1"/>
  <c r="J22"/>
  <c r="I22"/>
  <c r="C22"/>
  <c r="F22" s="1"/>
  <c r="A22"/>
  <c r="K22" s="1"/>
  <c r="I21"/>
  <c r="F21"/>
  <c r="C21"/>
  <c r="A21"/>
  <c r="J21" s="1"/>
  <c r="I20"/>
  <c r="L20" s="1"/>
  <c r="C20"/>
  <c r="A20"/>
  <c r="K20" s="1"/>
  <c r="I19"/>
  <c r="F19" s="1"/>
  <c r="C19"/>
  <c r="A19"/>
  <c r="K19" s="1"/>
  <c r="I18"/>
  <c r="F18"/>
  <c r="C18"/>
  <c r="A18"/>
  <c r="J18" s="1"/>
  <c r="I17"/>
  <c r="L17" s="1"/>
  <c r="C17"/>
  <c r="A17"/>
  <c r="K17" s="1"/>
  <c r="I16"/>
  <c r="C16"/>
  <c r="A16"/>
  <c r="K16" s="1"/>
  <c r="I15"/>
  <c r="F15"/>
  <c r="C15"/>
  <c r="C13" s="1"/>
  <c r="A15"/>
  <c r="K15" s="1"/>
  <c r="I14"/>
  <c r="L14" s="1"/>
  <c r="C14"/>
  <c r="A14"/>
  <c r="J14" s="1"/>
  <c r="L12"/>
  <c r="I2"/>
  <c r="F2"/>
  <c r="C2"/>
  <c r="L16" l="1"/>
  <c r="F17"/>
  <c r="L15"/>
  <c r="F16"/>
  <c r="L18"/>
  <c r="L21"/>
  <c r="L23"/>
  <c r="L26"/>
  <c r="L29"/>
  <c r="L32"/>
  <c r="L25"/>
  <c r="L28"/>
  <c r="L31"/>
  <c r="I13"/>
  <c r="F14"/>
  <c r="F13" s="1"/>
  <c r="L19"/>
  <c r="F20"/>
  <c r="L22"/>
  <c r="L24"/>
  <c r="L27"/>
  <c r="L30"/>
  <c r="F31"/>
  <c r="J15"/>
  <c r="J16"/>
  <c r="J17"/>
  <c r="J19"/>
  <c r="J20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G14"/>
  <c r="K14"/>
  <c r="G15"/>
  <c r="G16"/>
  <c r="G17"/>
  <c r="G18"/>
  <c r="K18"/>
  <c r="G19"/>
  <c r="G20"/>
  <c r="G21"/>
  <c r="K21"/>
  <c r="G22"/>
  <c r="G23"/>
  <c r="K23"/>
  <c r="G24"/>
  <c r="K24"/>
  <c r="G25"/>
  <c r="K25"/>
  <c r="G26"/>
  <c r="K26"/>
  <c r="G27"/>
  <c r="K27"/>
  <c r="G28"/>
  <c r="K28"/>
  <c r="G29"/>
  <c r="K29"/>
  <c r="G30"/>
  <c r="K30"/>
  <c r="G31"/>
  <c r="K31"/>
  <c r="G32"/>
  <c r="K32"/>
</calcChain>
</file>

<file path=xl/sharedStrings.xml><?xml version="1.0" encoding="utf-8"?>
<sst xmlns="http://schemas.openxmlformats.org/spreadsheetml/2006/main" count="29" uniqueCount="27">
  <si>
    <t>EUR Differenz in %</t>
  </si>
  <si>
    <t>Stk. Preis EUR</t>
  </si>
  <si>
    <t>Akt. Kurs</t>
  </si>
  <si>
    <t>Ertrag:</t>
  </si>
  <si>
    <t>Gewinn:</t>
  </si>
  <si>
    <t>Investitionen:</t>
  </si>
  <si>
    <t>Menge:</t>
  </si>
  <si>
    <t>Preis:</t>
  </si>
  <si>
    <t>Verkaufen an:</t>
  </si>
  <si>
    <t>Kaufen von:</t>
  </si>
  <si>
    <t>Profit in %:</t>
  </si>
  <si>
    <t>Profit:</t>
  </si>
  <si>
    <t>Deaktiviert</t>
  </si>
  <si>
    <t>Pair:</t>
  </si>
  <si>
    <t>0.2.5</t>
  </si>
  <si>
    <t>BCH Kurs in Euro:</t>
  </si>
  <si>
    <t>ETH Kurs in Euro:</t>
  </si>
  <si>
    <t>BTC Kurs in Euro:</t>
  </si>
  <si>
    <t>Krypto-Manager</t>
  </si>
  <si>
    <t>Навигация</t>
  </si>
  <si>
    <t>Функции</t>
  </si>
  <si>
    <t>Arbitrage</t>
  </si>
  <si>
    <t>Version:</t>
  </si>
  <si>
    <t>OFF</t>
  </si>
  <si>
    <t>CoinAlarm:</t>
  </si>
  <si>
    <t>Deaktiv</t>
  </si>
  <si>
    <t>Gesamt :</t>
  </si>
</sst>
</file>

<file path=xl/styles.xml><?xml version="1.0" encoding="utf-8"?>
<styleSheet xmlns="http://schemas.openxmlformats.org/spreadsheetml/2006/main">
  <numFmts count="1">
    <numFmt numFmtId="164" formatCode="_-* #,##0.00\ &quot;₽&quot;_-;\-* #,##0.00\ &quot;₽&quot;_-;_-* &quot;-&quot;??\ &quot;₽&quot;_-;_-@_-"/>
  </numFmts>
  <fonts count="14">
    <font>
      <sz val="10"/>
      <name val="Arial"/>
    </font>
    <font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sz val="6"/>
      <color rgb="FF000000"/>
      <name val="Arial"/>
      <family val="2"/>
      <charset val="204"/>
    </font>
    <font>
      <sz val="10"/>
      <name val="Arial"/>
      <family val="2"/>
    </font>
    <font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DCC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1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0" fontId="2" fillId="2" borderId="0">
      <alignment horizontal="left" vertical="top"/>
    </xf>
    <xf numFmtId="0" fontId="3" fillId="2" borderId="0">
      <alignment horizontal="left" vertical="top"/>
    </xf>
    <xf numFmtId="0" fontId="2" fillId="2" borderId="0">
      <alignment horizontal="left" vertical="top"/>
    </xf>
    <xf numFmtId="0" fontId="2" fillId="0" borderId="0">
      <alignment horizontal="left" vertical="top"/>
    </xf>
    <xf numFmtId="0" fontId="2" fillId="0" borderId="0">
      <alignment horizontal="left" vertical="top"/>
    </xf>
    <xf numFmtId="0" fontId="2" fillId="0" borderId="0">
      <alignment horizontal="center" vertical="top"/>
    </xf>
    <xf numFmtId="0" fontId="2" fillId="0" borderId="0">
      <alignment horizontal="center" vertical="top"/>
    </xf>
    <xf numFmtId="0" fontId="2" fillId="0" borderId="0">
      <alignment horizontal="center" vertical="top"/>
    </xf>
  </cellStyleXfs>
  <cellXfs count="70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0" fontId="5" fillId="3" borderId="0" xfId="0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0" fontId="0" fillId="3" borderId="3" xfId="0" applyFill="1" applyBorder="1"/>
    <xf numFmtId="0" fontId="0" fillId="3" borderId="0" xfId="0" applyFill="1" applyBorder="1"/>
    <xf numFmtId="0" fontId="5" fillId="3" borderId="1" xfId="0" applyFont="1" applyFill="1" applyBorder="1" applyAlignment="1">
      <alignment horizontal="right"/>
    </xf>
    <xf numFmtId="0" fontId="6" fillId="3" borderId="5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right"/>
    </xf>
    <xf numFmtId="0" fontId="5" fillId="3" borderId="3" xfId="0" applyFont="1" applyFill="1" applyBorder="1" applyAlignment="1">
      <alignment horizontal="right"/>
    </xf>
    <xf numFmtId="0" fontId="6" fillId="3" borderId="7" xfId="0" applyFont="1" applyFill="1" applyBorder="1" applyAlignment="1">
      <alignment horizontal="right"/>
    </xf>
    <xf numFmtId="0" fontId="6" fillId="3" borderId="3" xfId="0" applyFont="1" applyFill="1" applyBorder="1" applyAlignment="1">
      <alignment horizontal="right"/>
    </xf>
    <xf numFmtId="0" fontId="5" fillId="3" borderId="8" xfId="0" applyFont="1" applyFill="1" applyBorder="1" applyAlignment="1">
      <alignment horizontal="right"/>
    </xf>
    <xf numFmtId="0" fontId="6" fillId="3" borderId="11" xfId="0" applyFont="1" applyFill="1" applyBorder="1" applyAlignment="1">
      <alignment horizontal="right"/>
    </xf>
    <xf numFmtId="0" fontId="6" fillId="3" borderId="8" xfId="0" applyFont="1" applyFill="1" applyBorder="1" applyAlignment="1">
      <alignment horizontal="right"/>
    </xf>
    <xf numFmtId="0" fontId="9" fillId="4" borderId="15" xfId="0" applyFont="1" applyFill="1" applyBorder="1" applyAlignment="1">
      <alignment horizontal="center"/>
    </xf>
    <xf numFmtId="0" fontId="9" fillId="4" borderId="12" xfId="0" applyFont="1" applyFill="1" applyBorder="1"/>
    <xf numFmtId="0" fontId="9" fillId="4" borderId="12" xfId="0" applyFont="1" applyFill="1" applyBorder="1" applyAlignment="1"/>
    <xf numFmtId="0" fontId="0" fillId="3" borderId="6" xfId="0" applyFill="1" applyBorder="1"/>
    <xf numFmtId="0" fontId="10" fillId="3" borderId="17" xfId="0" applyFont="1" applyFill="1" applyBorder="1" applyAlignment="1">
      <alignment horizontal="right"/>
    </xf>
    <xf numFmtId="0" fontId="7" fillId="3" borderId="16" xfId="0" applyFont="1" applyFill="1" applyBorder="1"/>
    <xf numFmtId="0" fontId="0" fillId="3" borderId="17" xfId="0" applyFill="1" applyBorder="1"/>
    <xf numFmtId="0" fontId="0" fillId="3" borderId="16" xfId="0" applyFill="1" applyBorder="1"/>
    <xf numFmtId="0" fontId="5" fillId="3" borderId="17" xfId="0" applyFont="1" applyFill="1" applyBorder="1" applyAlignment="1">
      <alignment horizontal="right"/>
    </xf>
    <xf numFmtId="0" fontId="6" fillId="3" borderId="16" xfId="0" applyFont="1" applyFill="1" applyBorder="1"/>
    <xf numFmtId="0" fontId="7" fillId="3" borderId="20" xfId="0" applyFont="1" applyFill="1" applyBorder="1" applyAlignment="1">
      <alignment horizontal="right"/>
    </xf>
    <xf numFmtId="0" fontId="7" fillId="3" borderId="19" xfId="0" applyFont="1" applyFill="1" applyBorder="1" applyAlignment="1"/>
    <xf numFmtId="0" fontId="6" fillId="3" borderId="22" xfId="0" applyFont="1" applyFill="1" applyBorder="1" applyAlignment="1"/>
    <xf numFmtId="0" fontId="9" fillId="3" borderId="17" xfId="0" applyFont="1" applyFill="1" applyBorder="1" applyAlignment="1"/>
    <xf numFmtId="0" fontId="9" fillId="3" borderId="0" xfId="0" applyFont="1" applyFill="1" applyBorder="1" applyAlignment="1"/>
    <xf numFmtId="0" fontId="0" fillId="6" borderId="24" xfId="0" applyFill="1" applyBorder="1" applyAlignment="1"/>
    <xf numFmtId="0" fontId="0" fillId="4" borderId="27" xfId="0" applyFont="1" applyFill="1" applyBorder="1" applyAlignment="1"/>
    <xf numFmtId="0" fontId="0" fillId="4" borderId="24" xfId="0" applyFont="1" applyFill="1" applyBorder="1" applyAlignment="1">
      <alignment horizontal="left"/>
    </xf>
    <xf numFmtId="0" fontId="13" fillId="3" borderId="10" xfId="0" applyFont="1" applyFill="1" applyBorder="1" applyAlignment="1" applyProtection="1"/>
    <xf numFmtId="0" fontId="12" fillId="3" borderId="9" xfId="0" applyFont="1" applyFill="1" applyBorder="1" applyAlignment="1" applyProtection="1">
      <alignment horizontal="center"/>
    </xf>
    <xf numFmtId="0" fontId="12" fillId="3" borderId="8" xfId="0" applyFont="1" applyFill="1" applyBorder="1" applyAlignment="1" applyProtection="1">
      <alignment horizontal="center"/>
    </xf>
    <xf numFmtId="0" fontId="0" fillId="4" borderId="26" xfId="0" applyFont="1" applyFill="1" applyBorder="1" applyAlignment="1">
      <alignment horizontal="right"/>
    </xf>
    <xf numFmtId="0" fontId="0" fillId="4" borderId="25" xfId="0" applyFont="1" applyFill="1" applyBorder="1" applyAlignment="1">
      <alignment horizontal="right"/>
    </xf>
    <xf numFmtId="0" fontId="11" fillId="5" borderId="25" xfId="0" applyFont="1" applyFill="1" applyBorder="1" applyAlignment="1">
      <alignment horizontal="center"/>
    </xf>
    <xf numFmtId="0" fontId="11" fillId="7" borderId="24" xfId="0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0" fillId="5" borderId="21" xfId="0" applyFont="1" applyFill="1" applyBorder="1" applyAlignment="1">
      <alignment horizontal="center"/>
    </xf>
    <xf numFmtId="0" fontId="7" fillId="3" borderId="19" xfId="0" applyFont="1" applyFill="1" applyBorder="1" applyAlignment="1">
      <alignment horizontal="center" vertical="top"/>
    </xf>
    <xf numFmtId="0" fontId="7" fillId="3" borderId="18" xfId="0" applyFont="1" applyFill="1" applyBorder="1" applyAlignment="1">
      <alignment horizontal="center" vertical="top"/>
    </xf>
    <xf numFmtId="0" fontId="7" fillId="3" borderId="16" xfId="0" applyFont="1" applyFill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9" fillId="4" borderId="14" xfId="0" applyFont="1" applyFill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9" fillId="4" borderId="13" xfId="0" applyFont="1" applyFill="1" applyBorder="1" applyAlignment="1">
      <alignment horizontal="center"/>
    </xf>
    <xf numFmtId="0" fontId="8" fillId="4" borderId="14" xfId="0" applyFont="1" applyFill="1" applyBorder="1" applyAlignment="1">
      <alignment horizontal="center" vertical="top"/>
    </xf>
    <xf numFmtId="0" fontId="8" fillId="4" borderId="13" xfId="0" applyFont="1" applyFill="1" applyBorder="1" applyAlignment="1">
      <alignment horizontal="center" vertical="top"/>
    </xf>
    <xf numFmtId="0" fontId="8" fillId="4" borderId="12" xfId="0" applyFont="1" applyFill="1" applyBorder="1" applyAlignment="1">
      <alignment horizontal="center" vertical="top"/>
    </xf>
    <xf numFmtId="0" fontId="6" fillId="3" borderId="10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8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3" xfId="0" applyFont="1" applyFill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/>
    </xf>
    <xf numFmtId="0" fontId="6" fillId="3" borderId="6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0" fillId="4" borderId="26" xfId="0" applyFill="1" applyBorder="1" applyAlignment="1"/>
  </cellXfs>
  <cellStyles count="11">
    <cellStyle name="S2" xfId="3"/>
    <cellStyle name="S3" xfId="4"/>
    <cellStyle name="S4" xfId="5"/>
    <cellStyle name="S5" xfId="6"/>
    <cellStyle name="S6" xfId="7"/>
    <cellStyle name="S7" xfId="8"/>
    <cellStyle name="S8" xfId="9"/>
    <cellStyle name="S9" xfId="10"/>
    <cellStyle name="Денежный 2" xfId="2"/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ah-RU"/>
  <c:chart>
    <c:plotArea>
      <c:layout>
        <c:manualLayout>
          <c:layoutTarget val="inner"/>
          <c:xMode val="edge"/>
          <c:yMode val="edge"/>
          <c:x val="8.8854626833791361E-2"/>
          <c:y val="8.691550806831555E-2"/>
          <c:w val="0.86186536177429118"/>
          <c:h val="0.70013256544961988"/>
        </c:manualLayout>
      </c:layout>
      <c:barChart>
        <c:barDir val="col"/>
        <c:grouping val="clustered"/>
        <c:ser>
          <c:idx val="2"/>
          <c:order val="0"/>
          <c:tx>
            <c:strRef>
              <c:f>[1]Übersicht!$D$14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val>
            <c:numRef>
              <c:f>[1]Übersicht!$F$14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D3-4255-9BA0-7BD200D88B5E}"/>
            </c:ext>
          </c:extLst>
        </c:ser>
        <c:ser>
          <c:idx val="0"/>
          <c:order val="1"/>
          <c:tx>
            <c:strRef>
              <c:f>[1]Übersicht!$D$15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val>
            <c:numRef>
              <c:f>[1]Übersicht!$F$15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D3-4255-9BA0-7BD200D88B5E}"/>
            </c:ext>
          </c:extLst>
        </c:ser>
        <c:ser>
          <c:idx val="1"/>
          <c:order val="2"/>
          <c:tx>
            <c:strRef>
              <c:f>[1]Übersicht!$D$16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val>
            <c:numRef>
              <c:f>[1]Übersicht!$F$16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3D3-4255-9BA0-7BD200D88B5E}"/>
            </c:ext>
          </c:extLst>
        </c:ser>
        <c:ser>
          <c:idx val="3"/>
          <c:order val="3"/>
          <c:tx>
            <c:strRef>
              <c:f>[1]Übersicht!$D$17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4"/>
              </a:solidFill>
              <a:miter lim="800000"/>
            </a:ln>
            <a:effectLst>
              <a:glow rad="63500">
                <a:schemeClr val="accent4">
                  <a:satMod val="175000"/>
                  <a:alpha val="25000"/>
                </a:schemeClr>
              </a:glow>
            </a:effectLst>
          </c:spPr>
          <c:val>
            <c:numRef>
              <c:f>[1]Übersicht!$F$17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3D3-4255-9BA0-7BD200D88B5E}"/>
            </c:ext>
          </c:extLst>
        </c:ser>
        <c:ser>
          <c:idx val="4"/>
          <c:order val="4"/>
          <c:tx>
            <c:strRef>
              <c:f>[1]Übersicht!$D$18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val>
            <c:numRef>
              <c:f>[1]Übersicht!$F$18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3D3-4255-9BA0-7BD200D88B5E}"/>
            </c:ext>
          </c:extLst>
        </c:ser>
        <c:ser>
          <c:idx val="5"/>
          <c:order val="5"/>
          <c:tx>
            <c:strRef>
              <c:f>[1]Übersicht!$D$19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6"/>
              </a:solidFill>
              <a:miter lim="800000"/>
            </a:ln>
            <a:effectLst>
              <a:glow rad="63500">
                <a:schemeClr val="accent6">
                  <a:satMod val="175000"/>
                  <a:alpha val="25000"/>
                </a:schemeClr>
              </a:glow>
            </a:effectLst>
          </c:spPr>
          <c:val>
            <c:numRef>
              <c:f>[1]Übersicht!$F$19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83D3-4255-9BA0-7BD200D88B5E}"/>
            </c:ext>
          </c:extLst>
        </c:ser>
        <c:ser>
          <c:idx val="6"/>
          <c:order val="6"/>
          <c:tx>
            <c:strRef>
              <c:f>[1]Übersicht!$D$20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60000"/>
                </a:schemeClr>
              </a:solidFill>
              <a:miter lim="800000"/>
            </a:ln>
            <a:effectLst>
              <a:glow rad="63500">
                <a:schemeClr val="accent1">
                  <a:lumMod val="60000"/>
                  <a:satMod val="175000"/>
                  <a:alpha val="25000"/>
                </a:schemeClr>
              </a:glow>
            </a:effectLst>
          </c:spPr>
          <c:val>
            <c:numRef>
              <c:f>[1]Übersicht!$F$20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83D3-4255-9BA0-7BD200D88B5E}"/>
            </c:ext>
          </c:extLst>
        </c:ser>
        <c:ser>
          <c:idx val="7"/>
          <c:order val="7"/>
          <c:tx>
            <c:strRef>
              <c:f>[1]Übersicht!$D$21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60000"/>
                </a:schemeClr>
              </a:solidFill>
              <a:miter lim="800000"/>
            </a:ln>
            <a:effectLst>
              <a:glow rad="63500">
                <a:schemeClr val="accent2">
                  <a:lumMod val="60000"/>
                  <a:satMod val="175000"/>
                  <a:alpha val="25000"/>
                </a:schemeClr>
              </a:glow>
            </a:effectLst>
          </c:spPr>
          <c:val>
            <c:numRef>
              <c:f>[1]Übersicht!$F$21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83D3-4255-9BA0-7BD200D88B5E}"/>
            </c:ext>
          </c:extLst>
        </c:ser>
        <c:ser>
          <c:idx val="8"/>
          <c:order val="8"/>
          <c:tx>
            <c:strRef>
              <c:f>[1]Übersicht!$D$22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60000"/>
                </a:schemeClr>
              </a:solidFill>
              <a:miter lim="800000"/>
            </a:ln>
            <a:effectLst>
              <a:glow rad="63500">
                <a:schemeClr val="accent3">
                  <a:lumMod val="60000"/>
                  <a:satMod val="175000"/>
                  <a:alpha val="25000"/>
                </a:schemeClr>
              </a:glow>
            </a:effectLst>
          </c:spPr>
          <c:val>
            <c:numRef>
              <c:f>[1]Übersicht!$F$22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83D3-4255-9BA0-7BD200D88B5E}"/>
            </c:ext>
          </c:extLst>
        </c:ser>
        <c:ser>
          <c:idx val="9"/>
          <c:order val="9"/>
          <c:tx>
            <c:strRef>
              <c:f>[1]Übersicht!$D$23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60000"/>
                </a:schemeClr>
              </a:solidFill>
              <a:miter lim="800000"/>
            </a:ln>
            <a:effectLst>
              <a:glow rad="63500">
                <a:schemeClr val="accent4">
                  <a:lumMod val="60000"/>
                  <a:satMod val="175000"/>
                  <a:alpha val="25000"/>
                </a:schemeClr>
              </a:glow>
            </a:effectLst>
          </c:spPr>
          <c:val>
            <c:numRef>
              <c:f>[1]Übersicht!$F$23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83D3-4255-9BA0-7BD200D88B5E}"/>
            </c:ext>
          </c:extLst>
        </c:ser>
        <c:ser>
          <c:idx val="10"/>
          <c:order val="10"/>
          <c:tx>
            <c:strRef>
              <c:f>[1]Übersicht!$D$24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60000"/>
                </a:schemeClr>
              </a:solidFill>
              <a:miter lim="800000"/>
            </a:ln>
            <a:effectLst>
              <a:glow rad="63500">
                <a:schemeClr val="accent5">
                  <a:lumMod val="60000"/>
                  <a:satMod val="175000"/>
                  <a:alpha val="25000"/>
                </a:schemeClr>
              </a:glow>
            </a:effectLst>
          </c:spPr>
          <c:val>
            <c:numRef>
              <c:f>[1]Übersicht!$F$24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83D3-4255-9BA0-7BD200D88B5E}"/>
            </c:ext>
          </c:extLst>
        </c:ser>
        <c:ser>
          <c:idx val="11"/>
          <c:order val="11"/>
          <c:tx>
            <c:strRef>
              <c:f>[1]Übersicht!$D$25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60000"/>
                </a:schemeClr>
              </a:solidFill>
              <a:miter lim="800000"/>
            </a:ln>
            <a:effectLst>
              <a:glow rad="63500">
                <a:schemeClr val="accent6">
                  <a:lumMod val="60000"/>
                  <a:satMod val="175000"/>
                  <a:alpha val="25000"/>
                </a:schemeClr>
              </a:glow>
            </a:effectLst>
          </c:spPr>
          <c:val>
            <c:numRef>
              <c:f>[1]Übersicht!$F$25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83D3-4255-9BA0-7BD200D88B5E}"/>
            </c:ext>
          </c:extLst>
        </c:ser>
        <c:ser>
          <c:idx val="12"/>
          <c:order val="12"/>
          <c:tx>
            <c:strRef>
              <c:f>[1]Übersicht!$D$26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1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val>
            <c:numRef>
              <c:f>[1]Übersicht!$F$26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83D3-4255-9BA0-7BD200D88B5E}"/>
            </c:ext>
          </c:extLst>
        </c:ser>
        <c:ser>
          <c:idx val="13"/>
          <c:order val="13"/>
          <c:tx>
            <c:strRef>
              <c:f>[1]Übersicht!$D$27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2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2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val>
            <c:numRef>
              <c:f>[1]Übersicht!$F$27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83D3-4255-9BA0-7BD200D88B5E}"/>
            </c:ext>
          </c:extLst>
        </c:ser>
        <c:ser>
          <c:idx val="14"/>
          <c:order val="14"/>
          <c:tx>
            <c:strRef>
              <c:f>[1]Übersicht!$D$28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3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3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val>
            <c:numRef>
              <c:f>[1]Übersicht!$F$28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83D3-4255-9BA0-7BD200D88B5E}"/>
            </c:ext>
          </c:extLst>
        </c:ser>
        <c:ser>
          <c:idx val="15"/>
          <c:order val="15"/>
          <c:tx>
            <c:strRef>
              <c:f>[1]Übersicht!$D$29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4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4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val>
            <c:numRef>
              <c:f>[1]Übersicht!$F$29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83D3-4255-9BA0-7BD200D88B5E}"/>
            </c:ext>
          </c:extLst>
        </c:ser>
        <c:ser>
          <c:idx val="16"/>
          <c:order val="16"/>
          <c:tx>
            <c:strRef>
              <c:f>[1]Übersicht!$D$30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5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val>
            <c:numRef>
              <c:f>[1]Übersicht!$F$30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83D3-4255-9BA0-7BD200D88B5E}"/>
            </c:ext>
          </c:extLst>
        </c:ser>
        <c:ser>
          <c:idx val="17"/>
          <c:order val="17"/>
          <c:tx>
            <c:strRef>
              <c:f>[1]Übersicht!$D$31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6">
                  <a:lumMod val="80000"/>
                  <a:lumOff val="20000"/>
                </a:schemeClr>
              </a:solidFill>
              <a:miter lim="800000"/>
            </a:ln>
            <a:effectLst>
              <a:glow rad="63500">
                <a:schemeClr val="accent6">
                  <a:lumMod val="80000"/>
                  <a:lumOff val="20000"/>
                  <a:satMod val="175000"/>
                  <a:alpha val="25000"/>
                </a:schemeClr>
              </a:glow>
            </a:effectLst>
          </c:spPr>
          <c:val>
            <c:numRef>
              <c:f>[1]Übersicht!$F$31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83D3-4255-9BA0-7BD200D88B5E}"/>
            </c:ext>
          </c:extLst>
        </c:ser>
        <c:ser>
          <c:idx val="18"/>
          <c:order val="18"/>
          <c:tx>
            <c:strRef>
              <c:f>[1]Übersicht!$D$32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 w="9525" cap="flat" cmpd="sng" algn="ctr">
              <a:solidFill>
                <a:schemeClr val="accent1">
                  <a:lumMod val="80000"/>
                </a:schemeClr>
              </a:solidFill>
              <a:miter lim="800000"/>
            </a:ln>
            <a:effectLst>
              <a:glow rad="63500">
                <a:schemeClr val="accent1">
                  <a:lumMod val="80000"/>
                  <a:satMod val="175000"/>
                  <a:alpha val="25000"/>
                </a:schemeClr>
              </a:glow>
            </a:effectLst>
          </c:spPr>
          <c:val>
            <c:numRef>
              <c:f>[1]Übersicht!$F$32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83D3-4255-9BA0-7BD200D88B5E}"/>
            </c:ext>
          </c:extLst>
        </c:ser>
        <c:gapWidth val="315"/>
        <c:overlap val="-40"/>
        <c:axId val="103089664"/>
        <c:axId val="103091200"/>
      </c:barChart>
      <c:catAx>
        <c:axId val="103089664"/>
        <c:scaling>
          <c:orientation val="minMax"/>
        </c:scaling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ah-RU"/>
          </a:p>
        </c:txPr>
        <c:crossAx val="103091200"/>
        <c:crosses val="autoZero"/>
        <c:auto val="1"/>
        <c:lblAlgn val="ctr"/>
        <c:lblOffset val="100"/>
      </c:catAx>
      <c:valAx>
        <c:axId val="103091200"/>
        <c:scaling>
          <c:orientation val="minMax"/>
        </c:scaling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ah-RU"/>
          </a:p>
        </c:txPr>
        <c:crossAx val="10308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2087729229924789E-3"/>
          <c:y val="0.83444181127844552"/>
          <c:w val="0.98535767754315984"/>
          <c:h val="0.14805901689473291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sah-RU"/>
        </a:p>
      </c:txPr>
    </c:legend>
    <c:plotVisOnly val="1"/>
    <c:dispBlanksAs val="gap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ah-RU"/>
    </a:p>
  </c:txPr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sah-RU"/>
  <c:chart>
    <c:autoTitleDeleted val="1"/>
    <c:view3D>
      <c:rotX val="30"/>
      <c:depthPercent val="100"/>
      <c:perspective val="30"/>
    </c:view3D>
    <c:floor>
      <c:spPr>
        <a:noFill/>
        <a:ln>
          <a:noFill/>
        </a:ln>
        <a:effectLst/>
        <a:sp3d/>
      </c:spPr>
    </c:floor>
    <c:sideWall>
      <c:spPr>
        <a:noFill/>
        <a:ln>
          <a:noFill/>
        </a:ln>
        <a:effectLst/>
        <a:sp3d/>
      </c:spPr>
    </c:sideWall>
    <c:backWall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2060207195173123E-2"/>
          <c:y val="7.413100176512237E-2"/>
          <c:w val="0.91793977880657174"/>
          <c:h val="0.60465913692601914"/>
        </c:manualLayout>
      </c:layout>
      <c:pie3DChart>
        <c:varyColors val="1"/>
        <c:ser>
          <c:idx val="0"/>
          <c:order val="0"/>
          <c:dPt>
            <c:idx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636-4C33-8031-A8A8D3B624D4}"/>
              </c:ext>
            </c:extLst>
          </c:dPt>
          <c:dPt>
            <c:idx val="1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636-4C33-8031-A8A8D3B624D4}"/>
              </c:ext>
            </c:extLst>
          </c:dPt>
          <c:dPt>
            <c:idx val="2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636-4C33-8031-A8A8D3B624D4}"/>
              </c:ext>
            </c:extLst>
          </c:dPt>
          <c:dPt>
            <c:idx val="3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8636-4C33-8031-A8A8D3B624D4}"/>
              </c:ext>
            </c:extLst>
          </c:dPt>
          <c:dPt>
            <c:idx val="4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8636-4C33-8031-A8A8D3B624D4}"/>
              </c:ext>
            </c:extLst>
          </c:dPt>
          <c:dPt>
            <c:idx val="5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8636-4C33-8031-A8A8D3B624D4}"/>
              </c:ext>
            </c:extLst>
          </c:dPt>
          <c:dPt>
            <c:idx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8636-4C33-8031-A8A8D3B624D4}"/>
              </c:ext>
            </c:extLst>
          </c:dPt>
          <c:dPt>
            <c:idx val="7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8636-4C33-8031-A8A8D3B624D4}"/>
              </c:ext>
            </c:extLst>
          </c:dPt>
          <c:dPt>
            <c:idx val="8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8636-4C33-8031-A8A8D3B624D4}"/>
              </c:ext>
            </c:extLst>
          </c:dPt>
          <c:dPt>
            <c:idx val="9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8636-4C33-8031-A8A8D3B624D4}"/>
              </c:ext>
            </c:extLst>
          </c:dPt>
          <c:dPt>
            <c:idx val="1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8636-4C33-8031-A8A8D3B624D4}"/>
              </c:ext>
            </c:extLst>
          </c:dPt>
          <c:dPt>
            <c:idx val="11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8636-4C33-8031-A8A8D3B624D4}"/>
              </c:ext>
            </c:extLst>
          </c:dPt>
          <c:dP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8636-4C33-8031-A8A8D3B624D4}"/>
              </c:ext>
            </c:extLst>
          </c:dPt>
          <c:dP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8636-4C33-8031-A8A8D3B624D4}"/>
              </c:ext>
            </c:extLst>
          </c:dPt>
          <c:dP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8636-4C33-8031-A8A8D3B624D4}"/>
              </c:ext>
            </c:extLst>
          </c:dPt>
          <c:dPt>
            <c:idx val="15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8636-4C33-8031-A8A8D3B624D4}"/>
              </c:ext>
            </c:extLst>
          </c:dPt>
          <c:dPt>
            <c:idx val="1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8636-4C33-8031-A8A8D3B624D4}"/>
              </c:ext>
            </c:extLst>
          </c:dPt>
          <c:dPt>
            <c:idx val="17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8636-4C33-8031-A8A8D3B624D4}"/>
              </c:ext>
            </c:extLst>
          </c:dPt>
          <c:dPt>
            <c:idx val="18"/>
            <c:spPr>
              <a:gradFill rotWithShape="1">
                <a:gsLst>
                  <a:gs pos="0">
                    <a:schemeClr val="accent1">
                      <a:lumMod val="8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8636-4C33-8031-A8A8D3B624D4}"/>
              </c:ext>
            </c:extLst>
          </c:dPt>
          <c:cat>
            <c:numRef>
              <c:f>[1]Übersicht!$A$14:$A$32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cat>
          <c:val>
            <c:numRef>
              <c:f>[1]Übersicht!$C$14:$C$32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A4-43A5-4896-AD9A-B88E9D6170EB}"/>
            </c:ext>
          </c:extLst>
        </c:ser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067899936272945E-2"/>
          <c:y val="0.73271816948588064"/>
          <c:w val="0.96470619937224766"/>
          <c:h val="0.24466468105485323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sah-RU"/>
        </a:p>
      </c:txPr>
    </c:legend>
    <c:plotVisOnly val="1"/>
    <c:dispBlanksAs val="zero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sah-RU"/>
    </a:p>
  </c:txPr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87568</xdr:colOff>
      <xdr:row>26</xdr:row>
      <xdr:rowOff>10227</xdr:rowOff>
    </xdr:from>
    <xdr:to>
      <xdr:col>14</xdr:col>
      <xdr:colOff>535243</xdr:colOff>
      <xdr:row>27</xdr:row>
      <xdr:rowOff>135827</xdr:rowOff>
    </xdr:to>
    <xdr:sp macro="[0]!UpdateFile" textlink="">
      <xdr:nvSpPr>
        <xdr:cNvPr id="2" name="Скругленный прямоугольник 1"/>
        <xdr:cNvSpPr/>
      </xdr:nvSpPr>
      <xdr:spPr>
        <a:xfrm>
          <a:off x="11452992" y="5410418"/>
          <a:ext cx="1674624" cy="327401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rgbClr val="000000"/>
              </a:solidFill>
              <a:latin typeface="+mn-lt"/>
            </a:rPr>
            <a:t>Настройки</a:t>
          </a:r>
        </a:p>
      </xdr:txBody>
    </xdr:sp>
    <xdr:clientData fPrintsWithSheet="0"/>
  </xdr:twoCellAnchor>
  <xdr:twoCellAnchor editAs="absolute">
    <xdr:from>
      <xdr:col>12</xdr:col>
      <xdr:colOff>104801</xdr:colOff>
      <xdr:row>4</xdr:row>
      <xdr:rowOff>2123</xdr:rowOff>
    </xdr:from>
    <xdr:to>
      <xdr:col>14</xdr:col>
      <xdr:colOff>552476</xdr:colOff>
      <xdr:row>5</xdr:row>
      <xdr:rowOff>125948</xdr:rowOff>
    </xdr:to>
    <xdr:sp macro="[0]!UpdateFile" textlink="">
      <xdr:nvSpPr>
        <xdr:cNvPr id="9" name="Скругленный прямоугольник 8"/>
        <xdr:cNvSpPr/>
      </xdr:nvSpPr>
      <xdr:spPr>
        <a:xfrm>
          <a:off x="11470225" y="946551"/>
          <a:ext cx="1674624" cy="325626"/>
        </a:xfrm>
        <a:prstGeom prst="roundRect">
          <a:avLst>
            <a:gd name="adj" fmla="val 23000"/>
          </a:avLst>
        </a:prstGeom>
        <a:solidFill>
          <a:schemeClr val="tx2">
            <a:lumMod val="40000"/>
            <a:lumOff val="6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</a:t>
          </a:r>
          <a:r>
            <a:rPr lang="ru-RU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Мои инвестиции</a:t>
          </a:r>
          <a:endParaRPr lang="sah-RU" sz="10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12</xdr:col>
      <xdr:colOff>216169</xdr:colOff>
      <xdr:row>28</xdr:row>
      <xdr:rowOff>10009</xdr:rowOff>
    </xdr:from>
    <xdr:to>
      <xdr:col>14</xdr:col>
      <xdr:colOff>444769</xdr:colOff>
      <xdr:row>29</xdr:row>
      <xdr:rowOff>135610</xdr:rowOff>
    </xdr:to>
    <xdr:sp macro="[0]!UpdateFile" textlink="">
      <xdr:nvSpPr>
        <xdr:cNvPr id="15" name="Скругленный прямоугольник 14"/>
        <xdr:cNvSpPr/>
      </xdr:nvSpPr>
      <xdr:spPr>
        <a:xfrm>
          <a:off x="11581593" y="5813801"/>
          <a:ext cx="1455549" cy="327402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+mn-lt"/>
              <a:ea typeface="+mn-ea"/>
              <a:cs typeface="Arial" pitchFamily="34" charset="0"/>
            </a:rPr>
            <a:t>Справка</a:t>
          </a:r>
          <a:endParaRPr lang="ru-RU" sz="1100" b="1">
            <a:solidFill>
              <a:sysClr val="windowText" lastClr="000000"/>
            </a:solidFill>
            <a:latin typeface="+mn-lt"/>
            <a:cs typeface="Arial" pitchFamily="34" charset="0"/>
          </a:endParaRPr>
        </a:p>
      </xdr:txBody>
    </xdr:sp>
    <xdr:clientData fPrintsWithSheet="0"/>
  </xdr:twoCellAnchor>
  <xdr:twoCellAnchor>
    <xdr:from>
      <xdr:col>2</xdr:col>
      <xdr:colOff>1312188</xdr:colOff>
      <xdr:row>1</xdr:row>
      <xdr:rowOff>180975</xdr:rowOff>
    </xdr:from>
    <xdr:to>
      <xdr:col>9</xdr:col>
      <xdr:colOff>573114</xdr:colOff>
      <xdr:row>12</xdr:row>
      <xdr:rowOff>9525</xdr:rowOff>
    </xdr:to>
    <xdr:graphicFrame macro="">
      <xdr:nvGraphicFramePr>
        <xdr:cNvPr id="24" name="Diagramm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1</xdr:row>
      <xdr:rowOff>190500</xdr:rowOff>
    </xdr:from>
    <xdr:to>
      <xdr:col>3</xdr:col>
      <xdr:colOff>9524</xdr:colOff>
      <xdr:row>11</xdr:row>
      <xdr:rowOff>190502</xdr:rowOff>
    </xdr:to>
    <xdr:graphicFrame macro="">
      <xdr:nvGraphicFramePr>
        <xdr:cNvPr id="25" name="Diagramm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90891</xdr:colOff>
      <xdr:row>6</xdr:row>
      <xdr:rowOff>8072</xdr:rowOff>
    </xdr:from>
    <xdr:to>
      <xdr:col>14</xdr:col>
      <xdr:colOff>538566</xdr:colOff>
      <xdr:row>7</xdr:row>
      <xdr:rowOff>131897</xdr:rowOff>
    </xdr:to>
    <xdr:sp macro="[0]!UpdateFile" textlink="">
      <xdr:nvSpPr>
        <xdr:cNvPr id="26" name="Скругленный прямоугольник 25"/>
        <xdr:cNvSpPr/>
      </xdr:nvSpPr>
      <xdr:spPr>
        <a:xfrm>
          <a:off x="11456315" y="1356102"/>
          <a:ext cx="1674624" cy="325626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</a:t>
          </a:r>
          <a:r>
            <a:rPr lang="ru-RU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Наши партнеры</a:t>
          </a:r>
          <a:endParaRPr lang="sah-RU" sz="10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12</xdr:col>
      <xdr:colOff>92344</xdr:colOff>
      <xdr:row>8</xdr:row>
      <xdr:rowOff>18082</xdr:rowOff>
    </xdr:from>
    <xdr:to>
      <xdr:col>14</xdr:col>
      <xdr:colOff>540019</xdr:colOff>
      <xdr:row>9</xdr:row>
      <xdr:rowOff>143682</xdr:rowOff>
    </xdr:to>
    <xdr:sp macro="[0]!UpdateFile" textlink="">
      <xdr:nvSpPr>
        <xdr:cNvPr id="27" name="Скругленный прямоугольник 26"/>
        <xdr:cNvSpPr/>
      </xdr:nvSpPr>
      <xdr:spPr>
        <a:xfrm>
          <a:off x="11457768" y="1769713"/>
          <a:ext cx="1674624" cy="327401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Арбитраж Калькулатор</a:t>
          </a:r>
          <a:endParaRPr lang="sah-RU" sz="1000" b="1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12</xdr:col>
      <xdr:colOff>93797</xdr:colOff>
      <xdr:row>10</xdr:row>
      <xdr:rowOff>39392</xdr:rowOff>
    </xdr:from>
    <xdr:to>
      <xdr:col>14</xdr:col>
      <xdr:colOff>541472</xdr:colOff>
      <xdr:row>11</xdr:row>
      <xdr:rowOff>164993</xdr:rowOff>
    </xdr:to>
    <xdr:sp macro="[0]!UpdateFile" textlink="">
      <xdr:nvSpPr>
        <xdr:cNvPr id="28" name="Скругленный прямоугольник 27"/>
        <xdr:cNvSpPr/>
      </xdr:nvSpPr>
      <xdr:spPr>
        <a:xfrm>
          <a:off x="11459221" y="2194625"/>
          <a:ext cx="1674624" cy="327402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       </a:t>
          </a:r>
          <a:r>
            <a:rPr lang="ru-RU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Мои Транзакции</a:t>
          </a:r>
          <a:endParaRPr lang="sah-RU" sz="10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12</xdr:col>
      <xdr:colOff>77596</xdr:colOff>
      <xdr:row>13</xdr:row>
      <xdr:rowOff>144906</xdr:rowOff>
    </xdr:from>
    <xdr:to>
      <xdr:col>14</xdr:col>
      <xdr:colOff>525271</xdr:colOff>
      <xdr:row>15</xdr:row>
      <xdr:rowOff>66622</xdr:rowOff>
    </xdr:to>
    <xdr:sp macro="[0]!UpdateFile" textlink="">
      <xdr:nvSpPr>
        <xdr:cNvPr id="29" name="Скругленный прямоугольник 28"/>
        <xdr:cNvSpPr/>
      </xdr:nvSpPr>
      <xdr:spPr>
        <a:xfrm>
          <a:off x="11443020" y="2921686"/>
          <a:ext cx="1674624" cy="325317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+mn-lt"/>
            </a:rPr>
            <a:t>Coin Alarm</a:t>
          </a:r>
          <a:endParaRPr lang="ru-RU" sz="1000" b="1">
            <a:solidFill>
              <a:srgbClr val="000000"/>
            </a:solidFill>
            <a:latin typeface="+mn-lt"/>
          </a:endParaRPr>
        </a:p>
      </xdr:txBody>
    </xdr:sp>
    <xdr:clientData fPrintsWithSheet="0"/>
  </xdr:twoCellAnchor>
  <xdr:twoCellAnchor editAs="absolute">
    <xdr:from>
      <xdr:col>12</xdr:col>
      <xdr:colOff>67904</xdr:colOff>
      <xdr:row>15</xdr:row>
      <xdr:rowOff>183517</xdr:rowOff>
    </xdr:from>
    <xdr:to>
      <xdr:col>14</xdr:col>
      <xdr:colOff>515579</xdr:colOff>
      <xdr:row>17</xdr:row>
      <xdr:rowOff>107316</xdr:rowOff>
    </xdr:to>
    <xdr:sp macro="[0]!UpdateFile" textlink="">
      <xdr:nvSpPr>
        <xdr:cNvPr id="30" name="Скругленный прямоугольник 29"/>
        <xdr:cNvSpPr/>
      </xdr:nvSpPr>
      <xdr:spPr>
        <a:xfrm>
          <a:off x="11433328" y="3363898"/>
          <a:ext cx="1674624" cy="327401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rgbClr val="000000"/>
              </a:solidFill>
              <a:latin typeface="+mn-lt"/>
            </a:rPr>
            <a:t>Обзор Токенов</a:t>
          </a:r>
        </a:p>
      </xdr:txBody>
    </xdr:sp>
    <xdr:clientData fPrintsWithSheet="0"/>
  </xdr:twoCellAnchor>
  <xdr:twoCellAnchor editAs="absolute">
    <xdr:from>
      <xdr:col>12</xdr:col>
      <xdr:colOff>75137</xdr:colOff>
      <xdr:row>18</xdr:row>
      <xdr:rowOff>6656</xdr:rowOff>
    </xdr:from>
    <xdr:to>
      <xdr:col>14</xdr:col>
      <xdr:colOff>522812</xdr:colOff>
      <xdr:row>19</xdr:row>
      <xdr:rowOff>132256</xdr:rowOff>
    </xdr:to>
    <xdr:sp macro="[0]!UpdateFile" textlink="">
      <xdr:nvSpPr>
        <xdr:cNvPr id="31" name="Скругленный прямоугольник 30"/>
        <xdr:cNvSpPr/>
      </xdr:nvSpPr>
      <xdr:spPr>
        <a:xfrm>
          <a:off x="11440561" y="3792440"/>
          <a:ext cx="1674624" cy="327401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rgbClr val="000000"/>
              </a:solidFill>
              <a:latin typeface="+mn-lt"/>
            </a:rPr>
            <a:t>Чарт Анализ</a:t>
          </a:r>
        </a:p>
      </xdr:txBody>
    </xdr:sp>
    <xdr:clientData fPrintsWithSheet="0"/>
  </xdr:twoCellAnchor>
  <xdr:twoCellAnchor editAs="absolute">
    <xdr:from>
      <xdr:col>12</xdr:col>
      <xdr:colOff>65837</xdr:colOff>
      <xdr:row>20</xdr:row>
      <xdr:rowOff>42401</xdr:rowOff>
    </xdr:from>
    <xdr:to>
      <xdr:col>14</xdr:col>
      <xdr:colOff>513512</xdr:colOff>
      <xdr:row>21</xdr:row>
      <xdr:rowOff>165919</xdr:rowOff>
    </xdr:to>
    <xdr:sp macro="[0]!UpdateFile" textlink="">
      <xdr:nvSpPr>
        <xdr:cNvPr id="32" name="Скругленный прямоугольник 31"/>
        <xdr:cNvSpPr/>
      </xdr:nvSpPr>
      <xdr:spPr>
        <a:xfrm>
          <a:off x="11431261" y="4231787"/>
          <a:ext cx="1674624" cy="325318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rgbClr val="000000"/>
              </a:solidFill>
              <a:latin typeface="+mn-lt"/>
            </a:rPr>
            <a:t>Добавить Модуль</a:t>
          </a:r>
        </a:p>
      </xdr:txBody>
    </xdr:sp>
    <xdr:clientData fPrintsWithSheet="0"/>
  </xdr:twoCellAnchor>
  <xdr:twoCellAnchor editAs="absolute">
    <xdr:from>
      <xdr:col>12</xdr:col>
      <xdr:colOff>209872</xdr:colOff>
      <xdr:row>30</xdr:row>
      <xdr:rowOff>1</xdr:rowOff>
    </xdr:from>
    <xdr:to>
      <xdr:col>14</xdr:col>
      <xdr:colOff>438472</xdr:colOff>
      <xdr:row>31</xdr:row>
      <xdr:rowOff>125602</xdr:rowOff>
    </xdr:to>
    <xdr:sp macro="[0]!UpdateFile" textlink="">
      <xdr:nvSpPr>
        <xdr:cNvPr id="14" name="Скругленный прямоугольник 13"/>
        <xdr:cNvSpPr/>
      </xdr:nvSpPr>
      <xdr:spPr>
        <a:xfrm>
          <a:off x="11575296" y="6207395"/>
          <a:ext cx="1455549" cy="327402"/>
        </a:xfrm>
        <a:prstGeom prst="roundRect">
          <a:avLst>
            <a:gd name="adj" fmla="val 23000"/>
          </a:avLst>
        </a:prstGeom>
        <a:solidFill>
          <a:schemeClr val="accent1">
            <a:lumMod val="60000"/>
            <a:lumOff val="40000"/>
          </a:schemeClr>
        </a:solidFill>
        <a:ln w="3175">
          <a:solidFill>
            <a:srgbClr val="000000"/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+mn-lt"/>
              <a:ea typeface="+mn-ea"/>
              <a:cs typeface="Arial" pitchFamily="34" charset="0"/>
            </a:rPr>
            <a:t>Выход</a:t>
          </a:r>
          <a:endParaRPr lang="ru-RU" sz="1100" b="1">
            <a:solidFill>
              <a:sysClr val="windowText" lastClr="000000"/>
            </a:solidFill>
            <a:latin typeface="+mn-lt"/>
            <a:cs typeface="Arial" pitchFamily="34" charset="0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rypto-Manager%20(2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Übersicht"/>
      <sheetName val="Investionen"/>
      <sheetName val="Transaktionen"/>
      <sheetName val="Partner"/>
      <sheetName val="Arbitrage-Rechner"/>
      <sheetName val="Coin Alarm"/>
      <sheetName val="Steuer Formular"/>
      <sheetName val="Berechnungen"/>
      <sheetName val="API"/>
      <sheetName val="APIBittrex"/>
      <sheetName val="APIPoloniex"/>
      <sheetName val="APIBitfinex"/>
      <sheetName val="APIKraken"/>
      <sheetName val="APIHitbtc"/>
      <sheetName val="CSVImport"/>
      <sheetName val="CSVExport"/>
      <sheetName val="DatenImport"/>
    </sheetNames>
    <sheetDataSet>
      <sheetData sheetId="0">
        <row r="14">
          <cell r="A14">
            <v>0</v>
          </cell>
          <cell r="C14">
            <v>0</v>
          </cell>
          <cell r="D14">
            <v>0</v>
          </cell>
          <cell r="F14">
            <v>0</v>
          </cell>
        </row>
        <row r="15">
          <cell r="A15">
            <v>0</v>
          </cell>
          <cell r="C15">
            <v>0</v>
          </cell>
          <cell r="D15">
            <v>0</v>
          </cell>
          <cell r="F15">
            <v>0</v>
          </cell>
        </row>
        <row r="16">
          <cell r="A16">
            <v>0</v>
          </cell>
          <cell r="C16">
            <v>0</v>
          </cell>
          <cell r="D16">
            <v>0</v>
          </cell>
          <cell r="F16">
            <v>0</v>
          </cell>
        </row>
        <row r="17">
          <cell r="A17">
            <v>0</v>
          </cell>
          <cell r="C17">
            <v>0</v>
          </cell>
          <cell r="D17">
            <v>0</v>
          </cell>
          <cell r="F17">
            <v>0</v>
          </cell>
        </row>
        <row r="18">
          <cell r="A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A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A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A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A22">
            <v>0</v>
          </cell>
          <cell r="C22">
            <v>0</v>
          </cell>
          <cell r="D22">
            <v>0</v>
          </cell>
          <cell r="F22">
            <v>0</v>
          </cell>
        </row>
        <row r="23">
          <cell r="A23">
            <v>0</v>
          </cell>
          <cell r="C23">
            <v>0</v>
          </cell>
          <cell r="D23">
            <v>0</v>
          </cell>
          <cell r="F23">
            <v>0</v>
          </cell>
        </row>
        <row r="24">
          <cell r="A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A25">
            <v>0</v>
          </cell>
          <cell r="C25">
            <v>0</v>
          </cell>
          <cell r="D25">
            <v>0</v>
          </cell>
          <cell r="F25">
            <v>0</v>
          </cell>
        </row>
        <row r="26">
          <cell r="A26">
            <v>0</v>
          </cell>
          <cell r="C26">
            <v>0</v>
          </cell>
          <cell r="D26">
            <v>0</v>
          </cell>
          <cell r="F26">
            <v>0</v>
          </cell>
        </row>
        <row r="27">
          <cell r="A27">
            <v>0</v>
          </cell>
          <cell r="C27">
            <v>0</v>
          </cell>
          <cell r="D27">
            <v>0</v>
          </cell>
          <cell r="F27">
            <v>0</v>
          </cell>
        </row>
        <row r="28">
          <cell r="A28">
            <v>0</v>
          </cell>
          <cell r="C28">
            <v>0</v>
          </cell>
          <cell r="D28">
            <v>0</v>
          </cell>
          <cell r="F28">
            <v>0</v>
          </cell>
        </row>
        <row r="29">
          <cell r="A29">
            <v>0</v>
          </cell>
          <cell r="C29">
            <v>0</v>
          </cell>
          <cell r="D29">
            <v>0</v>
          </cell>
          <cell r="F29">
            <v>0</v>
          </cell>
        </row>
        <row r="30">
          <cell r="A30">
            <v>0</v>
          </cell>
          <cell r="C30">
            <v>0</v>
          </cell>
          <cell r="D30">
            <v>0</v>
          </cell>
          <cell r="F30">
            <v>0</v>
          </cell>
        </row>
        <row r="31">
          <cell r="A31">
            <v>0</v>
          </cell>
          <cell r="C31">
            <v>0</v>
          </cell>
          <cell r="D31">
            <v>0</v>
          </cell>
          <cell r="F31">
            <v>0</v>
          </cell>
        </row>
        <row r="32">
          <cell r="A32">
            <v>0</v>
          </cell>
          <cell r="C32">
            <v>0</v>
          </cell>
          <cell r="D32">
            <v>0</v>
          </cell>
          <cell r="F32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4">
          <cell r="AB4" t="str">
            <v>BTC</v>
          </cell>
          <cell r="AE4" t="str">
            <v>Modul2</v>
          </cell>
        </row>
        <row r="5">
          <cell r="AB5" t="str">
            <v>ETH</v>
          </cell>
        </row>
        <row r="6">
          <cell r="AB6" t="str">
            <v>EUR</v>
          </cell>
        </row>
        <row r="11">
          <cell r="AB11" t="e">
            <v>#N/A</v>
          </cell>
        </row>
        <row r="12">
          <cell r="AD12">
            <v>11.232017539999999</v>
          </cell>
        </row>
        <row r="13">
          <cell r="AD13">
            <v>22.24157104</v>
          </cell>
        </row>
        <row r="14">
          <cell r="AB14" t="str">
            <v>Anzahl VK</v>
          </cell>
          <cell r="AD14" t="str">
            <v>26.02.2018</v>
          </cell>
        </row>
        <row r="15">
          <cell r="AB15">
            <v>1.998</v>
          </cell>
          <cell r="AD15">
            <v>16567.73</v>
          </cell>
        </row>
        <row r="16">
          <cell r="AB16" t="str">
            <v>Anz. Pos</v>
          </cell>
        </row>
        <row r="17">
          <cell r="AB17">
            <v>0.999</v>
          </cell>
          <cell r="AD17">
            <v>8283.8700000000008</v>
          </cell>
        </row>
        <row r="18">
          <cell r="AB18">
            <v>0.999</v>
          </cell>
          <cell r="AD18">
            <v>8283.8700000000008</v>
          </cell>
        </row>
        <row r="20">
          <cell r="AB20" t="str">
            <v>Coin</v>
          </cell>
          <cell r="AD20" t="str">
            <v>Datum</v>
          </cell>
          <cell r="AE20" t="str">
            <v>Zeile INV</v>
          </cell>
        </row>
        <row r="21">
          <cell r="AE21" t="str">
            <v>Zeile INV</v>
          </cell>
        </row>
        <row r="22">
          <cell r="AE22">
            <v>5</v>
          </cell>
        </row>
      </sheetData>
      <sheetData sheetId="8">
        <row r="1">
          <cell r="A1" t="str">
            <v>Column1.symbol</v>
          </cell>
          <cell r="B1" t="str">
            <v>Column1.rank</v>
          </cell>
          <cell r="C1" t="str">
            <v>Column1.price_usd</v>
          </cell>
          <cell r="D1" t="str">
            <v>Column1.price_btc</v>
          </cell>
          <cell r="E1" t="str">
            <v>Column1.24h_volume_usd</v>
          </cell>
          <cell r="F1" t="str">
            <v>Column1.market_cap_usd</v>
          </cell>
          <cell r="G1" t="str">
            <v>Column1.available_supply</v>
          </cell>
          <cell r="H1" t="str">
            <v>Column1.total_supply</v>
          </cell>
          <cell r="I1" t="str">
            <v>Column1.percent_change_1h</v>
          </cell>
          <cell r="J1" t="str">
            <v>Column1.percent_change_24h</v>
          </cell>
          <cell r="K1" t="str">
            <v>Column1.percent_change_7d</v>
          </cell>
          <cell r="L1" t="str">
            <v>Column1.last_updated</v>
          </cell>
          <cell r="M1" t="str">
            <v>Column1.price_eur</v>
          </cell>
          <cell r="N1" t="str">
            <v>Column1.24h_volume_eur</v>
          </cell>
          <cell r="O1" t="str">
            <v>Column1.market_cap_eur</v>
          </cell>
          <cell r="P1" t="str">
            <v>Column1.id</v>
          </cell>
        </row>
        <row r="2">
          <cell r="A2" t="str">
            <v>BTC</v>
          </cell>
          <cell r="B2" t="str">
            <v>1</v>
          </cell>
          <cell r="C2" t="str">
            <v>8243,54</v>
          </cell>
          <cell r="D2" t="str">
            <v>1,0</v>
          </cell>
          <cell r="E2" t="str">
            <v>7700190000,0</v>
          </cell>
          <cell r="F2" t="str">
            <v>139482238342</v>
          </cell>
          <cell r="G2" t="str">
            <v>16920187,0</v>
          </cell>
          <cell r="H2" t="str">
            <v>16920187,0</v>
          </cell>
          <cell r="I2" t="str">
            <v>3,97</v>
          </cell>
          <cell r="J2" t="str">
            <v>-9,3</v>
          </cell>
          <cell r="K2" t="str">
            <v>-16,91</v>
          </cell>
          <cell r="L2" t="str">
            <v>1521104667</v>
          </cell>
          <cell r="M2" t="str">
            <v>6657,9362987</v>
          </cell>
          <cell r="N2" t="str">
            <v>6219096954,45</v>
          </cell>
          <cell r="O2" t="str">
            <v>112653527208</v>
          </cell>
          <cell r="P2" t="str">
            <v>bitcoin</v>
          </cell>
        </row>
        <row r="3">
          <cell r="A3" t="str">
            <v>ETH</v>
          </cell>
          <cell r="B3" t="str">
            <v>2</v>
          </cell>
          <cell r="C3" t="str">
            <v>612,334</v>
          </cell>
          <cell r="D3" t="str">
            <v>0,0748054</v>
          </cell>
          <cell r="E3" t="str">
            <v>2135560000,0</v>
          </cell>
          <cell r="F3" t="str">
            <v>60130584533,0</v>
          </cell>
          <cell r="G3" t="str">
            <v>98198997,0</v>
          </cell>
          <cell r="H3" t="str">
            <v>98198997,0</v>
          </cell>
          <cell r="I3" t="str">
            <v>3,39</v>
          </cell>
          <cell r="J3" t="str">
            <v>-10,86</v>
          </cell>
          <cell r="K3" t="str">
            <v>-18,87</v>
          </cell>
          <cell r="L3" t="str">
            <v>1521104652</v>
          </cell>
          <cell r="M3" t="str">
            <v>494,55461677</v>
          </cell>
          <cell r="N3" t="str">
            <v>1724795711,8</v>
          </cell>
          <cell r="O3" t="str">
            <v>48564767251,0</v>
          </cell>
          <cell r="P3" t="str">
            <v>ethereum</v>
          </cell>
        </row>
        <row r="4">
          <cell r="A4" t="str">
            <v>XRP</v>
          </cell>
          <cell r="B4" t="str">
            <v>3</v>
          </cell>
          <cell r="C4" t="str">
            <v>0,716185</v>
          </cell>
          <cell r="D4" t="str">
            <v>0,00008749</v>
          </cell>
          <cell r="E4" t="str">
            <v>835094000,0</v>
          </cell>
          <cell r="F4" t="str">
            <v>27996900993,0</v>
          </cell>
          <cell r="G4" t="str">
            <v>39091716516,0</v>
          </cell>
          <cell r="H4" t="str">
            <v>99992497246,0</v>
          </cell>
          <cell r="I4" t="str">
            <v>5,89</v>
          </cell>
          <cell r="J4" t="str">
            <v>-8,47</v>
          </cell>
          <cell r="K4" t="str">
            <v>-17,49</v>
          </cell>
          <cell r="L4" t="str">
            <v>1521104641</v>
          </cell>
          <cell r="M4" t="str">
            <v>0,5784303962</v>
          </cell>
          <cell r="N4" t="str">
            <v>674467844,57</v>
          </cell>
          <cell r="O4" t="str">
            <v>22611837072,0</v>
          </cell>
          <cell r="P4" t="str">
            <v>ripple</v>
          </cell>
        </row>
        <row r="5">
          <cell r="A5" t="str">
            <v>BCH</v>
          </cell>
          <cell r="B5" t="str">
            <v>4</v>
          </cell>
          <cell r="C5" t="str">
            <v>940,631</v>
          </cell>
          <cell r="D5" t="str">
            <v>0,114912</v>
          </cell>
          <cell r="E5" t="str">
            <v>430715000,0</v>
          </cell>
          <cell r="F5" t="str">
            <v>16008281526,0</v>
          </cell>
          <cell r="G5" t="str">
            <v>17018663,0</v>
          </cell>
          <cell r="H5" t="str">
            <v>17018663,0</v>
          </cell>
          <cell r="I5" t="str">
            <v>4,54</v>
          </cell>
          <cell r="J5" t="str">
            <v>-9,77</v>
          </cell>
          <cell r="K5" t="str">
            <v>-13,3</v>
          </cell>
          <cell r="L5" t="str">
            <v>1521104652</v>
          </cell>
          <cell r="M5" t="str">
            <v>759,705330305</v>
          </cell>
          <cell r="N5" t="str">
            <v>347869123,325</v>
          </cell>
          <cell r="O5" t="str">
            <v>12929168616,0</v>
          </cell>
          <cell r="P5" t="str">
            <v>bitcoin-cash</v>
          </cell>
        </row>
        <row r="6">
          <cell r="A6" t="str">
            <v>LTC</v>
          </cell>
          <cell r="B6" t="str">
            <v>5</v>
          </cell>
          <cell r="C6" t="str">
            <v>163,271</v>
          </cell>
          <cell r="D6" t="str">
            <v>0,0199459</v>
          </cell>
          <cell r="E6" t="str">
            <v>594764000,0</v>
          </cell>
          <cell r="F6" t="str">
            <v>9083672883,0</v>
          </cell>
          <cell r="G6" t="str">
            <v>55635556,0</v>
          </cell>
          <cell r="H6" t="str">
            <v>55635556,0</v>
          </cell>
          <cell r="I6" t="str">
            <v>3,99</v>
          </cell>
          <cell r="J6" t="str">
            <v>-5,35</v>
          </cell>
          <cell r="K6" t="str">
            <v>-11,05</v>
          </cell>
          <cell r="L6" t="str">
            <v>1521104641</v>
          </cell>
          <cell r="M6" t="str">
            <v>131,866639505</v>
          </cell>
          <cell r="N6" t="str">
            <v>480364118,42</v>
          </cell>
          <cell r="O6" t="str">
            <v>7336473822,0</v>
          </cell>
          <cell r="P6" t="str">
            <v>litecoin</v>
          </cell>
        </row>
        <row r="7">
          <cell r="A7" t="str">
            <v>ADA</v>
          </cell>
          <cell r="B7" t="str">
            <v>6</v>
          </cell>
          <cell r="C7" t="str">
            <v>0,18614</v>
          </cell>
          <cell r="D7" t="str">
            <v>0,00002274</v>
          </cell>
          <cell r="E7" t="str">
            <v>198196000,0</v>
          </cell>
          <cell r="F7" t="str">
            <v>4826064910,0</v>
          </cell>
          <cell r="G7" t="str">
            <v>25927070538,0</v>
          </cell>
          <cell r="H7" t="str">
            <v>31112483745,0</v>
          </cell>
          <cell r="I7" t="str">
            <v>3,69</v>
          </cell>
          <cell r="J7" t="str">
            <v>-17,35</v>
          </cell>
          <cell r="K7" t="str">
            <v>-21,64</v>
          </cell>
          <cell r="L7" t="str">
            <v>1521104654</v>
          </cell>
          <cell r="M7" t="str">
            <v>0,1503369017</v>
          </cell>
          <cell r="N7" t="str">
            <v>160073990,38</v>
          </cell>
          <cell r="O7" t="str">
            <v>3897795455,0</v>
          </cell>
          <cell r="P7" t="str">
            <v>cardano</v>
          </cell>
        </row>
        <row r="8">
          <cell r="A8" t="str">
            <v>NEO</v>
          </cell>
          <cell r="B8" t="str">
            <v>7</v>
          </cell>
          <cell r="C8" t="str">
            <v>70,9468</v>
          </cell>
          <cell r="D8" t="str">
            <v>0,00866718</v>
          </cell>
          <cell r="E8" t="str">
            <v>187187000,0</v>
          </cell>
          <cell r="F8" t="str">
            <v>4611542000,0</v>
          </cell>
          <cell r="G8" t="str">
            <v>65000000,0</v>
          </cell>
          <cell r="H8" t="str">
            <v>100000000,0</v>
          </cell>
          <cell r="I8" t="str">
            <v>4,5</v>
          </cell>
          <cell r="J8" t="str">
            <v>-13,61</v>
          </cell>
          <cell r="K8" t="str">
            <v>-27,91</v>
          </cell>
          <cell r="L8" t="str">
            <v>1521104648</v>
          </cell>
          <cell r="M8" t="str">
            <v>57,300537754</v>
          </cell>
          <cell r="N8" t="str">
            <v>151182516,485</v>
          </cell>
          <cell r="O8" t="str">
            <v>3724534954,0</v>
          </cell>
          <cell r="P8" t="str">
            <v>neo</v>
          </cell>
        </row>
        <row r="9">
          <cell r="A9" t="str">
            <v>XLM</v>
          </cell>
          <cell r="B9" t="str">
            <v>8</v>
          </cell>
          <cell r="C9" t="str">
            <v>0,241951</v>
          </cell>
          <cell r="D9" t="str">
            <v>0,00002956</v>
          </cell>
          <cell r="E9" t="str">
            <v>63465200,0</v>
          </cell>
          <cell r="F9" t="str">
            <v>4475775076,0</v>
          </cell>
          <cell r="G9" t="str">
            <v>18498683931,0</v>
          </cell>
          <cell r="H9" t="str">
            <v>103768249378</v>
          </cell>
          <cell r="I9" t="str">
            <v>6,38</v>
          </cell>
          <cell r="J9" t="str">
            <v>-15,57</v>
          </cell>
          <cell r="K9" t="str">
            <v>-25,12</v>
          </cell>
          <cell r="L9" t="str">
            <v>1521104643</v>
          </cell>
          <cell r="M9" t="str">
            <v>0,1954129349</v>
          </cell>
          <cell r="N9" t="str">
            <v>51257986,106</v>
          </cell>
          <cell r="O9" t="str">
            <v>3614882119,0</v>
          </cell>
          <cell r="P9" t="str">
            <v>stellar</v>
          </cell>
        </row>
        <row r="10">
          <cell r="A10" t="str">
            <v>EOS</v>
          </cell>
          <cell r="B10" t="str">
            <v>9</v>
          </cell>
          <cell r="C10" t="str">
            <v>5,19987</v>
          </cell>
          <cell r="D10" t="str">
            <v>0,00063524</v>
          </cell>
          <cell r="E10" t="str">
            <v>315178000,0</v>
          </cell>
          <cell r="F10" t="str">
            <v>3788854154,0</v>
          </cell>
          <cell r="G10" t="str">
            <v>728644015,0</v>
          </cell>
          <cell r="H10" t="str">
            <v>900000000,0</v>
          </cell>
          <cell r="I10" t="str">
            <v>3,63</v>
          </cell>
          <cell r="J10" t="str">
            <v>-10,21</v>
          </cell>
          <cell r="K10" t="str">
            <v>-19,74</v>
          </cell>
          <cell r="L10" t="str">
            <v>1521104651</v>
          </cell>
          <cell r="M10" t="str">
            <v>4,1997010048</v>
          </cell>
          <cell r="N10" t="str">
            <v>254555087,59</v>
          </cell>
          <cell r="O10" t="str">
            <v>3060087002,0</v>
          </cell>
          <cell r="P10" t="str">
            <v>eos</v>
          </cell>
        </row>
        <row r="11">
          <cell r="A11" t="str">
            <v>XMR</v>
          </cell>
          <cell r="B11" t="str">
            <v>10</v>
          </cell>
          <cell r="C11" t="str">
            <v>219,956</v>
          </cell>
          <cell r="D11" t="str">
            <v>0,0268708</v>
          </cell>
          <cell r="E11" t="str">
            <v>90841800,0</v>
          </cell>
          <cell r="F11" t="str">
            <v>3481037798,0</v>
          </cell>
          <cell r="G11" t="str">
            <v>15826064,0</v>
          </cell>
          <cell r="H11" t="str">
            <v>15826064,0</v>
          </cell>
          <cell r="I11" t="str">
            <v>5,38</v>
          </cell>
          <cell r="J11" t="str">
            <v>-10,77</v>
          </cell>
          <cell r="K11" t="str">
            <v>-30,3</v>
          </cell>
          <cell r="L11" t="str">
            <v>1521104643</v>
          </cell>
          <cell r="M11" t="str">
            <v>177,64856318</v>
          </cell>
          <cell r="N11" t="str">
            <v>73368833,979</v>
          </cell>
          <cell r="O11" t="str">
            <v>2811477583,0</v>
          </cell>
          <cell r="P11" t="str">
            <v>monero</v>
          </cell>
        </row>
        <row r="12">
          <cell r="A12" t="str">
            <v>DASH</v>
          </cell>
          <cell r="B12" t="str">
            <v>11</v>
          </cell>
          <cell r="C12" t="str">
            <v>420,248</v>
          </cell>
          <cell r="D12" t="str">
            <v>0,0513394</v>
          </cell>
          <cell r="E12" t="str">
            <v>101442000,0</v>
          </cell>
          <cell r="F12" t="str">
            <v>3339751756,0</v>
          </cell>
          <cell r="G12" t="str">
            <v>7947097,0</v>
          </cell>
          <cell r="H12" t="str">
            <v>7947097,0</v>
          </cell>
          <cell r="I12" t="str">
            <v>4,93</v>
          </cell>
          <cell r="J12" t="str">
            <v>-13,67</v>
          </cell>
          <cell r="K12" t="str">
            <v>-18,5</v>
          </cell>
          <cell r="L12" t="str">
            <v>1521104642</v>
          </cell>
          <cell r="M12" t="str">
            <v>339,41539844</v>
          </cell>
          <cell r="N12" t="str">
            <v>81930138,51</v>
          </cell>
          <cell r="O12" t="str">
            <v>2697367205,0</v>
          </cell>
          <cell r="P12" t="str">
            <v>dash</v>
          </cell>
        </row>
        <row r="13">
          <cell r="A13" t="str">
            <v>XEM</v>
          </cell>
          <cell r="B13" t="str">
            <v>12</v>
          </cell>
          <cell r="C13" t="str">
            <v>0,368237</v>
          </cell>
          <cell r="D13" t="str">
            <v>0,00004499</v>
          </cell>
          <cell r="E13" t="str">
            <v>138168000,0</v>
          </cell>
          <cell r="F13" t="str">
            <v>3314133000,0</v>
          </cell>
          <cell r="G13" t="str">
            <v>8999999999,0</v>
          </cell>
          <cell r="H13" t="str">
            <v>8999999999,0</v>
          </cell>
          <cell r="I13" t="str">
            <v>4,09</v>
          </cell>
          <cell r="J13" t="str">
            <v>-26,45</v>
          </cell>
          <cell r="K13" t="str">
            <v>12,66</v>
          </cell>
          <cell r="L13" t="str">
            <v>1521104644</v>
          </cell>
          <cell r="M13" t="str">
            <v>0,2974084542</v>
          </cell>
          <cell r="N13" t="str">
            <v>111592076,04</v>
          </cell>
          <cell r="O13" t="str">
            <v>2676676088,0</v>
          </cell>
          <cell r="P13" t="str">
            <v>nem</v>
          </cell>
        </row>
        <row r="14">
          <cell r="A14" t="str">
            <v>MIOTA</v>
          </cell>
          <cell r="B14" t="str">
            <v>13</v>
          </cell>
          <cell r="C14" t="str">
            <v>1,13546</v>
          </cell>
          <cell r="D14" t="str">
            <v>0,00013871</v>
          </cell>
          <cell r="E14" t="str">
            <v>53496500,0</v>
          </cell>
          <cell r="F14" t="str">
            <v>3156045455,0</v>
          </cell>
          <cell r="G14" t="str">
            <v>2779530283,0</v>
          </cell>
          <cell r="H14" t="str">
            <v>2779530283,0</v>
          </cell>
          <cell r="I14" t="str">
            <v>5,38</v>
          </cell>
          <cell r="J14" t="str">
            <v>-12,74</v>
          </cell>
          <cell r="K14" t="str">
            <v>-23,76</v>
          </cell>
          <cell r="L14" t="str">
            <v>1521104651</v>
          </cell>
          <cell r="M14" t="str">
            <v>0,9170599463</v>
          </cell>
          <cell r="N14" t="str">
            <v>43206715,7075</v>
          </cell>
          <cell r="O14" t="str">
            <v>2548995892,0</v>
          </cell>
          <cell r="P14" t="str">
            <v>iota</v>
          </cell>
        </row>
        <row r="15">
          <cell r="A15" t="str">
            <v>USDT</v>
          </cell>
          <cell r="B15" t="str">
            <v>14</v>
          </cell>
          <cell r="C15" t="str">
            <v>1,00044</v>
          </cell>
          <cell r="D15" t="str">
            <v>0,00012222</v>
          </cell>
          <cell r="E15" t="str">
            <v>2574760000,0</v>
          </cell>
          <cell r="F15" t="str">
            <v>2218116355,0</v>
          </cell>
          <cell r="G15" t="str">
            <v>2217140814,0</v>
          </cell>
          <cell r="H15" t="str">
            <v>2280109970,0</v>
          </cell>
          <cell r="I15" t="str">
            <v>-0,13</v>
          </cell>
          <cell r="J15" t="str">
            <v>-0,01</v>
          </cell>
          <cell r="K15" t="str">
            <v>-0,16</v>
          </cell>
          <cell r="L15" t="str">
            <v>1521104645</v>
          </cell>
          <cell r="M15" t="str">
            <v>0,8080103682</v>
          </cell>
          <cell r="N15" t="str">
            <v>2079517787,8</v>
          </cell>
          <cell r="O15" t="str">
            <v>1791472765,0</v>
          </cell>
          <cell r="P15" t="str">
            <v>tether</v>
          </cell>
        </row>
        <row r="16">
          <cell r="A16" t="str">
            <v>TRX</v>
          </cell>
          <cell r="B16" t="str">
            <v>15</v>
          </cell>
          <cell r="C16" t="str">
            <v>0,0302919</v>
          </cell>
          <cell r="D16" t="str">
            <v>0,00000370</v>
          </cell>
          <cell r="E16" t="str">
            <v>208790000,0</v>
          </cell>
          <cell r="F16" t="str">
            <v>1991637672,0</v>
          </cell>
          <cell r="G16" t="str">
            <v>65748192475,0</v>
          </cell>
          <cell r="H16" t="str">
            <v>100000000000</v>
          </cell>
          <cell r="I16" t="str">
            <v>3,72</v>
          </cell>
          <cell r="J16" t="str">
            <v>-13,99</v>
          </cell>
          <cell r="K16" t="str">
            <v>-20,66</v>
          </cell>
          <cell r="L16" t="str">
            <v>1521104653</v>
          </cell>
          <cell r="M16" t="str">
            <v>0,0244654045</v>
          </cell>
          <cell r="N16" t="str">
            <v>168630287,45</v>
          </cell>
          <cell r="O16" t="str">
            <v>1608556124,0</v>
          </cell>
          <cell r="P16" t="str">
            <v>tron</v>
          </cell>
        </row>
        <row r="17">
          <cell r="A17" t="str">
            <v>VEN</v>
          </cell>
          <cell r="B17" t="str">
            <v>16</v>
          </cell>
          <cell r="C17" t="str">
            <v>3,79625</v>
          </cell>
          <cell r="D17" t="str">
            <v>0,00046377</v>
          </cell>
          <cell r="E17" t="str">
            <v>89009600,0</v>
          </cell>
          <cell r="F17" t="str">
            <v>1872238133,0</v>
          </cell>
          <cell r="G17" t="str">
            <v>493180937,0</v>
          </cell>
          <cell r="H17" t="str">
            <v>873378637,0</v>
          </cell>
          <cell r="I17" t="str">
            <v>5,0</v>
          </cell>
          <cell r="J17" t="str">
            <v>-11,84</v>
          </cell>
          <cell r="K17" t="str">
            <v>-6,35</v>
          </cell>
          <cell r="L17" t="str">
            <v>1521104653</v>
          </cell>
          <cell r="M17" t="str">
            <v>3,0660602938</v>
          </cell>
          <cell r="N17" t="str">
            <v>71889048,488</v>
          </cell>
          <cell r="O17" t="str">
            <v>1512122489,0</v>
          </cell>
          <cell r="P17" t="str">
            <v>vechain</v>
          </cell>
        </row>
        <row r="18">
          <cell r="A18" t="str">
            <v>ETC</v>
          </cell>
          <cell r="B18" t="str">
            <v>17</v>
          </cell>
          <cell r="C18" t="str">
            <v>17,4494</v>
          </cell>
          <cell r="D18" t="str">
            <v>0,0021317</v>
          </cell>
          <cell r="E18" t="str">
            <v>265815000,0</v>
          </cell>
          <cell r="F18" t="str">
            <v>1753958356,0</v>
          </cell>
          <cell r="G18" t="str">
            <v>100516829,0</v>
          </cell>
          <cell r="H18" t="str">
            <v>100516829,0</v>
          </cell>
          <cell r="I18" t="str">
            <v>3,9</v>
          </cell>
          <cell r="J18" t="str">
            <v>-11,12</v>
          </cell>
          <cell r="K18" t="str">
            <v>-25,14</v>
          </cell>
          <cell r="L18" t="str">
            <v>1521104647</v>
          </cell>
          <cell r="M18" t="str">
            <v>14,093095157</v>
          </cell>
          <cell r="N18" t="str">
            <v>214686813,825</v>
          </cell>
          <cell r="O18" t="str">
            <v>1416593236,0</v>
          </cell>
          <cell r="P18" t="str">
            <v>ethereum-classic</v>
          </cell>
        </row>
        <row r="19">
          <cell r="A19" t="str">
            <v>NANO</v>
          </cell>
          <cell r="B19" t="str">
            <v>18</v>
          </cell>
          <cell r="C19" t="str">
            <v>8,8269</v>
          </cell>
          <cell r="D19" t="str">
            <v>0,00107833</v>
          </cell>
          <cell r="E19" t="str">
            <v>35072300,0</v>
          </cell>
          <cell r="F19" t="str">
            <v>1176169324,0</v>
          </cell>
          <cell r="G19" t="str">
            <v>133248289,0</v>
          </cell>
          <cell r="H19" t="str">
            <v>133248289,0</v>
          </cell>
          <cell r="I19" t="str">
            <v>3,65</v>
          </cell>
          <cell r="J19" t="str">
            <v>-17,06</v>
          </cell>
          <cell r="K19" t="str">
            <v>-24,51</v>
          </cell>
          <cell r="L19" t="str">
            <v>1521104649</v>
          </cell>
          <cell r="M19" t="str">
            <v>7,1290899195</v>
          </cell>
          <cell r="N19" t="str">
            <v>28326318,4565</v>
          </cell>
          <cell r="O19" t="str">
            <v>949939035,0</v>
          </cell>
          <cell r="P19" t="str">
            <v>nano</v>
          </cell>
        </row>
        <row r="20">
          <cell r="A20" t="str">
            <v>LSK</v>
          </cell>
          <cell r="B20" t="str">
            <v>19</v>
          </cell>
          <cell r="C20" t="str">
            <v>11,4078</v>
          </cell>
          <cell r="D20" t="str">
            <v>0,00139363</v>
          </cell>
          <cell r="E20" t="str">
            <v>26204600,0</v>
          </cell>
          <cell r="F20" t="str">
            <v>1173123827,0</v>
          </cell>
          <cell r="G20" t="str">
            <v>102835238,0</v>
          </cell>
          <cell r="H20" t="str">
            <v>119051884,0</v>
          </cell>
          <cell r="I20" t="str">
            <v>4,32</v>
          </cell>
          <cell r="J20" t="str">
            <v>-17,01</v>
          </cell>
          <cell r="K20" t="str">
            <v>-30,91</v>
          </cell>
          <cell r="L20" t="str">
            <v>1521104646</v>
          </cell>
          <cell r="M20" t="str">
            <v>9,213566709</v>
          </cell>
          <cell r="N20" t="str">
            <v>21164276,213</v>
          </cell>
          <cell r="O20" t="str">
            <v>947479324,0</v>
          </cell>
          <cell r="P20" t="str">
            <v>lisk</v>
          </cell>
        </row>
        <row r="21">
          <cell r="A21" t="str">
            <v>OMG</v>
          </cell>
          <cell r="B21" t="str">
            <v>20</v>
          </cell>
          <cell r="C21" t="str">
            <v>11,3337</v>
          </cell>
          <cell r="D21" t="str">
            <v>0,00138458</v>
          </cell>
          <cell r="E21" t="str">
            <v>42439500,0</v>
          </cell>
          <cell r="F21" t="str">
            <v>1156519669,0</v>
          </cell>
          <cell r="G21" t="str">
            <v>102042552,0</v>
          </cell>
          <cell r="H21" t="str">
            <v>140245398,0</v>
          </cell>
          <cell r="I21" t="str">
            <v>4,95</v>
          </cell>
          <cell r="J21" t="str">
            <v>-14,73</v>
          </cell>
          <cell r="K21" t="str">
            <v>-21,81</v>
          </cell>
          <cell r="L21" t="str">
            <v>1521104652</v>
          </cell>
          <cell r="M21" t="str">
            <v>9,1537194735</v>
          </cell>
          <cell r="N21" t="str">
            <v>34276474,3725</v>
          </cell>
          <cell r="O21" t="str">
            <v>934068893,0</v>
          </cell>
          <cell r="P21" t="str">
            <v>omisego</v>
          </cell>
        </row>
        <row r="22">
          <cell r="A22" t="str">
            <v>QTUM</v>
          </cell>
          <cell r="B22" t="str">
            <v>21</v>
          </cell>
          <cell r="C22" t="str">
            <v>15,6342</v>
          </cell>
          <cell r="D22" t="str">
            <v>0,00190995</v>
          </cell>
          <cell r="E22" t="str">
            <v>105485000,0</v>
          </cell>
          <cell r="F22" t="str">
            <v>1156149528,0</v>
          </cell>
          <cell r="G22" t="str">
            <v>73950028,0</v>
          </cell>
          <cell r="H22" t="str">
            <v>100450028,0</v>
          </cell>
          <cell r="I22" t="str">
            <v>4,59</v>
          </cell>
          <cell r="J22" t="str">
            <v>-13,7</v>
          </cell>
          <cell r="K22" t="str">
            <v>-27,1</v>
          </cell>
          <cell r="L22" t="str">
            <v>1521104651</v>
          </cell>
          <cell r="M22" t="str">
            <v>12,627039801</v>
          </cell>
          <cell r="N22" t="str">
            <v>85195487,675</v>
          </cell>
          <cell r="O22" t="str">
            <v>933769947,0</v>
          </cell>
          <cell r="P22" t="str">
            <v>qtum</v>
          </cell>
        </row>
        <row r="23">
          <cell r="A23" t="str">
            <v>BTG</v>
          </cell>
          <cell r="B23" t="str">
            <v>22</v>
          </cell>
          <cell r="C23" t="str">
            <v>67,192</v>
          </cell>
          <cell r="D23" t="str">
            <v>0,00820847</v>
          </cell>
          <cell r="E23" t="str">
            <v>31428100,0</v>
          </cell>
          <cell r="F23" t="str">
            <v>1134319291,0</v>
          </cell>
          <cell r="G23" t="str">
            <v>16881761,0</v>
          </cell>
          <cell r="H23" t="str">
            <v>16981761,0</v>
          </cell>
          <cell r="I23" t="str">
            <v>3,52</v>
          </cell>
          <cell r="J23" t="str">
            <v>-14,16</v>
          </cell>
          <cell r="K23" t="str">
            <v>-26,46</v>
          </cell>
          <cell r="L23" t="str">
            <v>1521104655</v>
          </cell>
          <cell r="M23" t="str">
            <v>54,26795476</v>
          </cell>
          <cell r="N23" t="str">
            <v>25383062,1055</v>
          </cell>
          <cell r="O23" t="str">
            <v>916138647,0</v>
          </cell>
          <cell r="P23" t="str">
            <v>bitcoin-gold</v>
          </cell>
        </row>
        <row r="24">
          <cell r="A24" t="str">
            <v>ICX</v>
          </cell>
          <cell r="B24" t="str">
            <v>23</v>
          </cell>
          <cell r="C24" t="str">
            <v>2,39791</v>
          </cell>
          <cell r="D24" t="str">
            <v>0,00029294</v>
          </cell>
          <cell r="E24" t="str">
            <v>42677900,0</v>
          </cell>
          <cell r="F24" t="str">
            <v>925934996,0</v>
          </cell>
          <cell r="G24" t="str">
            <v>386142514,0</v>
          </cell>
          <cell r="H24" t="str">
            <v>400230000,0</v>
          </cell>
          <cell r="I24" t="str">
            <v>6,32</v>
          </cell>
          <cell r="J24" t="str">
            <v>-17,63</v>
          </cell>
          <cell r="K24" t="str">
            <v>-17,32</v>
          </cell>
          <cell r="L24" t="str">
            <v>1521104655</v>
          </cell>
          <cell r="M24" t="str">
            <v>1,936684001</v>
          </cell>
          <cell r="N24" t="str">
            <v>34469019,3245</v>
          </cell>
          <cell r="O24" t="str">
            <v>747836029,0</v>
          </cell>
          <cell r="P24" t="str">
            <v>icon</v>
          </cell>
        </row>
        <row r="25">
          <cell r="A25" t="str">
            <v>BNB</v>
          </cell>
          <cell r="B25" t="str">
            <v>24</v>
          </cell>
          <cell r="C25" t="str">
            <v>9,21665</v>
          </cell>
          <cell r="D25" t="str">
            <v>0,00112595</v>
          </cell>
          <cell r="E25" t="str">
            <v>100556000,0</v>
          </cell>
          <cell r="F25" t="str">
            <v>912577383,0</v>
          </cell>
          <cell r="G25" t="str">
            <v>99014000,0</v>
          </cell>
          <cell r="H25" t="str">
            <v>197192382,0</v>
          </cell>
          <cell r="I25" t="str">
            <v>4,33</v>
          </cell>
          <cell r="J25" t="str">
            <v>-9,39</v>
          </cell>
          <cell r="K25" t="str">
            <v>6,9</v>
          </cell>
          <cell r="L25" t="str">
            <v>1521104652</v>
          </cell>
          <cell r="M25" t="str">
            <v>7,4438734557</v>
          </cell>
          <cell r="N25" t="str">
            <v>81214556,18</v>
          </cell>
          <cell r="O25" t="str">
            <v>737047686,0</v>
          </cell>
          <cell r="P25" t="str">
            <v>binance-coin</v>
          </cell>
        </row>
        <row r="26">
          <cell r="A26" t="str">
            <v>ZEC</v>
          </cell>
          <cell r="B26" t="str">
            <v>25</v>
          </cell>
          <cell r="C26" t="str">
            <v>249,413</v>
          </cell>
          <cell r="D26" t="str">
            <v>0,0304694</v>
          </cell>
          <cell r="E26" t="str">
            <v>53452000,0</v>
          </cell>
          <cell r="F26" t="str">
            <v>868819274,0</v>
          </cell>
          <cell r="G26" t="str">
            <v>3483456,0</v>
          </cell>
          <cell r="H26" t="str">
            <v>3483456,0</v>
          </cell>
          <cell r="I26" t="str">
            <v>4,9</v>
          </cell>
          <cell r="J26" t="str">
            <v>-12,09</v>
          </cell>
          <cell r="K26" t="str">
            <v>-26,81</v>
          </cell>
          <cell r="L26" t="str">
            <v>1521104648</v>
          </cell>
          <cell r="M26" t="str">
            <v>201,439656515</v>
          </cell>
          <cell r="N26" t="str">
            <v>43170775,06</v>
          </cell>
          <cell r="O26" t="str">
            <v>701706230,0</v>
          </cell>
          <cell r="P26" t="str">
            <v>zcash</v>
          </cell>
        </row>
        <row r="27">
          <cell r="A27" t="str">
            <v>DGD</v>
          </cell>
          <cell r="B27" t="str">
            <v>26</v>
          </cell>
          <cell r="C27" t="str">
            <v>358,25</v>
          </cell>
          <cell r="D27" t="str">
            <v>0,0437654</v>
          </cell>
          <cell r="E27" t="str">
            <v>51934600,0</v>
          </cell>
          <cell r="F27" t="str">
            <v>716500000,0</v>
          </cell>
          <cell r="G27" t="str">
            <v>2000000,0</v>
          </cell>
          <cell r="H27" t="str">
            <v>2000000,0</v>
          </cell>
          <cell r="I27" t="str">
            <v>-1,44</v>
          </cell>
          <cell r="J27" t="str">
            <v>11,36</v>
          </cell>
          <cell r="K27" t="str">
            <v>-7,13</v>
          </cell>
          <cell r="L27" t="str">
            <v>1521104647</v>
          </cell>
          <cell r="M27" t="str">
            <v>289,34240375</v>
          </cell>
          <cell r="N27" t="str">
            <v>41945239,363</v>
          </cell>
          <cell r="O27" t="str">
            <v>578684808,0</v>
          </cell>
          <cell r="P27" t="str">
            <v>digixdao</v>
          </cell>
        </row>
        <row r="28">
          <cell r="A28" t="str">
            <v>PPT</v>
          </cell>
          <cell r="B28" t="str">
            <v>27</v>
          </cell>
          <cell r="C28" t="str">
            <v>15,5361</v>
          </cell>
          <cell r="D28" t="str">
            <v>0,00189795</v>
          </cell>
          <cell r="E28" t="str">
            <v>2305300,0</v>
          </cell>
          <cell r="F28" t="str">
            <v>574898262,0</v>
          </cell>
          <cell r="G28" t="str">
            <v>37004027,0</v>
          </cell>
          <cell r="H28" t="str">
            <v>53252246,0</v>
          </cell>
          <cell r="I28" t="str">
            <v>2,11</v>
          </cell>
          <cell r="J28" t="str">
            <v>-14,76</v>
          </cell>
          <cell r="K28" t="str">
            <v>-9,8</v>
          </cell>
          <cell r="L28" t="str">
            <v>1521104651</v>
          </cell>
          <cell r="M28" t="str">
            <v>12,5478088455</v>
          </cell>
          <cell r="N28" t="str">
            <v>1861887,0715</v>
          </cell>
          <cell r="O28" t="str">
            <v>464319456,0</v>
          </cell>
          <cell r="P28" t="str">
            <v>populous</v>
          </cell>
        </row>
        <row r="29">
          <cell r="A29" t="str">
            <v>STEEM</v>
          </cell>
          <cell r="B29" t="str">
            <v>28</v>
          </cell>
          <cell r="C29" t="str">
            <v>2,09377</v>
          </cell>
          <cell r="D29" t="str">
            <v>0,00025579</v>
          </cell>
          <cell r="E29" t="str">
            <v>8990210,0</v>
          </cell>
          <cell r="F29" t="str">
            <v>529425709,0</v>
          </cell>
          <cell r="G29" t="str">
            <v>252857625,0</v>
          </cell>
          <cell r="H29" t="str">
            <v>269831719,0</v>
          </cell>
          <cell r="I29" t="str">
            <v>4,12</v>
          </cell>
          <cell r="J29" t="str">
            <v>-19,4</v>
          </cell>
          <cell r="K29" t="str">
            <v>-26,46</v>
          </cell>
          <cell r="L29" t="str">
            <v>1521104647</v>
          </cell>
          <cell r="M29" t="str">
            <v>1,6910438094</v>
          </cell>
          <cell r="N29" t="str">
            <v>7260988,05755</v>
          </cell>
          <cell r="O29" t="str">
            <v>427593321,0</v>
          </cell>
          <cell r="P29" t="str">
            <v>steem</v>
          </cell>
        </row>
        <row r="30">
          <cell r="A30" t="str">
            <v>WAVES</v>
          </cell>
          <cell r="B30" t="str">
            <v>29</v>
          </cell>
          <cell r="C30" t="str">
            <v>5,02929</v>
          </cell>
          <cell r="D30" t="str">
            <v>0,0006144</v>
          </cell>
          <cell r="E30" t="str">
            <v>22638900,0</v>
          </cell>
          <cell r="F30" t="str">
            <v>502929000,0</v>
          </cell>
          <cell r="G30" t="str">
            <v>100000000,0</v>
          </cell>
          <cell r="H30" t="str">
            <v>100000000,0</v>
          </cell>
          <cell r="I30" t="str">
            <v>4,43</v>
          </cell>
          <cell r="J30" t="str">
            <v>-10,04</v>
          </cell>
          <cell r="K30" t="str">
            <v>-20,34</v>
          </cell>
          <cell r="L30" t="str">
            <v>1521104647</v>
          </cell>
          <cell r="M30" t="str">
            <v>4,0619312149</v>
          </cell>
          <cell r="N30" t="str">
            <v>18284420,7795</v>
          </cell>
          <cell r="O30" t="str">
            <v>406193121,0</v>
          </cell>
          <cell r="P30" t="str">
            <v>waves</v>
          </cell>
        </row>
        <row r="31">
          <cell r="A31" t="str">
            <v>BCN</v>
          </cell>
          <cell r="B31" t="str">
            <v>30</v>
          </cell>
          <cell r="C31" t="str">
            <v>0,00265686</v>
          </cell>
          <cell r="D31" t="str">
            <v>0,00000032</v>
          </cell>
          <cell r="E31" t="str">
            <v>3328110,0</v>
          </cell>
          <cell r="F31" t="str">
            <v>488285340,0</v>
          </cell>
          <cell r="G31" t="str">
            <v>183782864136</v>
          </cell>
          <cell r="H31" t="str">
            <v>183782864136</v>
          </cell>
          <cell r="I31" t="str">
            <v>4,44</v>
          </cell>
          <cell r="J31" t="str">
            <v>-12,17</v>
          </cell>
          <cell r="K31" t="str">
            <v>-24,0</v>
          </cell>
          <cell r="L31" t="str">
            <v>1521104643</v>
          </cell>
          <cell r="M31" t="str">
            <v>0,0021458263</v>
          </cell>
          <cell r="N31" t="str">
            <v>2687964,68205</v>
          </cell>
          <cell r="O31" t="str">
            <v>394366097,0</v>
          </cell>
          <cell r="P31" t="str">
            <v>bytecoin-bcn</v>
          </cell>
        </row>
        <row r="32">
          <cell r="A32" t="str">
            <v>MKR</v>
          </cell>
          <cell r="B32" t="str">
            <v>31</v>
          </cell>
          <cell r="C32" t="str">
            <v>740,682</v>
          </cell>
          <cell r="D32" t="str">
            <v>0,090485</v>
          </cell>
          <cell r="E32" t="str">
            <v>845258,0</v>
          </cell>
          <cell r="F32" t="str">
            <v>457910181,0</v>
          </cell>
          <cell r="G32" t="str">
            <v>618228,0</v>
          </cell>
          <cell r="H32" t="str">
            <v>1000000,0</v>
          </cell>
          <cell r="I32" t="str">
            <v>2,37</v>
          </cell>
          <cell r="J32" t="str">
            <v>-6,89</v>
          </cell>
          <cell r="K32" t="str">
            <v>-15,78</v>
          </cell>
          <cell r="L32" t="str">
            <v>1521104649</v>
          </cell>
          <cell r="M32" t="str">
            <v>598,21552071</v>
          </cell>
          <cell r="N32" t="str">
            <v>682676,84999</v>
          </cell>
          <cell r="O32" t="str">
            <v>369833447,0</v>
          </cell>
          <cell r="P32" t="str">
            <v>maker</v>
          </cell>
        </row>
        <row r="33">
          <cell r="A33" t="str">
            <v>STRAT</v>
          </cell>
          <cell r="B33" t="str">
            <v>32</v>
          </cell>
          <cell r="C33" t="str">
            <v>4,57666</v>
          </cell>
          <cell r="D33" t="str">
            <v>0,0005591</v>
          </cell>
          <cell r="E33" t="str">
            <v>6217090,0</v>
          </cell>
          <cell r="F33" t="str">
            <v>452070778,0</v>
          </cell>
          <cell r="G33" t="str">
            <v>98777444,0</v>
          </cell>
          <cell r="H33" t="str">
            <v>98777444,0</v>
          </cell>
          <cell r="I33" t="str">
            <v>4,11</v>
          </cell>
          <cell r="J33" t="str">
            <v>-15,56</v>
          </cell>
          <cell r="K33" t="str">
            <v>-27,15</v>
          </cell>
          <cell r="L33" t="str">
            <v>1521104647</v>
          </cell>
          <cell r="M33" t="str">
            <v>3,6963623323</v>
          </cell>
          <cell r="N33" t="str">
            <v>5021263,82395</v>
          </cell>
          <cell r="O33" t="str">
            <v>365117224,0</v>
          </cell>
          <cell r="P33" t="str">
            <v>stratis</v>
          </cell>
        </row>
        <row r="34">
          <cell r="A34" t="str">
            <v>XVG</v>
          </cell>
          <cell r="B34" t="str">
            <v>33</v>
          </cell>
          <cell r="C34" t="str">
            <v>0,0303236</v>
          </cell>
          <cell r="D34" t="str">
            <v>0,00000370</v>
          </cell>
          <cell r="E34" t="str">
            <v>9910740,0</v>
          </cell>
          <cell r="F34" t="str">
            <v>446099014,0</v>
          </cell>
          <cell r="G34" t="str">
            <v>14711281435,0</v>
          </cell>
          <cell r="H34" t="str">
            <v>14711281435,0</v>
          </cell>
          <cell r="I34" t="str">
            <v>4,68</v>
          </cell>
          <cell r="J34" t="str">
            <v>-16,25</v>
          </cell>
          <cell r="K34" t="str">
            <v>-27,72</v>
          </cell>
          <cell r="L34" t="str">
            <v>1521104644</v>
          </cell>
          <cell r="M34" t="str">
            <v>0,0244910072</v>
          </cell>
          <cell r="N34" t="str">
            <v>8004458,7147</v>
          </cell>
          <cell r="O34" t="str">
            <v>360294099,0</v>
          </cell>
          <cell r="P34" t="str">
            <v>verge</v>
          </cell>
        </row>
        <row r="35">
          <cell r="A35" t="str">
            <v>RHOC</v>
          </cell>
          <cell r="B35" t="str">
            <v>34</v>
          </cell>
          <cell r="C35" t="str">
            <v>1,18156</v>
          </cell>
          <cell r="D35" t="str">
            <v>0,00014434</v>
          </cell>
          <cell r="E35" t="str">
            <v>747979,0</v>
          </cell>
          <cell r="F35" t="str">
            <v>424718698,0</v>
          </cell>
          <cell r="G35" t="str">
            <v>359455887,0</v>
          </cell>
          <cell r="H35" t="str">
            <v>870663574,0</v>
          </cell>
          <cell r="I35" t="str">
            <v>3,2</v>
          </cell>
          <cell r="J35" t="str">
            <v>-14,11</v>
          </cell>
          <cell r="K35" t="str">
            <v>-21,91</v>
          </cell>
          <cell r="L35" t="str">
            <v>1521104655</v>
          </cell>
          <cell r="M35" t="str">
            <v>0,9542928418</v>
          </cell>
          <cell r="N35" t="str">
            <v>604108,979245</v>
          </cell>
          <cell r="O35" t="str">
            <v>343026180,0</v>
          </cell>
          <cell r="P35" t="str">
            <v>rchain</v>
          </cell>
        </row>
        <row r="36">
          <cell r="A36" t="str">
            <v>DOGE</v>
          </cell>
          <cell r="B36" t="str">
            <v>35</v>
          </cell>
          <cell r="C36" t="str">
            <v>0,00350749</v>
          </cell>
          <cell r="D36" t="str">
            <v>0,00000043</v>
          </cell>
          <cell r="E36" t="str">
            <v>10696000,0</v>
          </cell>
          <cell r="F36" t="str">
            <v>398450360,0</v>
          </cell>
          <cell r="G36" t="str">
            <v>113599856174</v>
          </cell>
          <cell r="H36" t="str">
            <v>113599856174</v>
          </cell>
          <cell r="I36" t="str">
            <v>4,83</v>
          </cell>
          <cell r="J36" t="str">
            <v>-10,24</v>
          </cell>
          <cell r="K36" t="str">
            <v>-16,19</v>
          </cell>
          <cell r="L36" t="str">
            <v>1521104642</v>
          </cell>
          <cell r="M36" t="str">
            <v>0,0028328418</v>
          </cell>
          <cell r="N36" t="str">
            <v>8638677,88</v>
          </cell>
          <cell r="O36" t="str">
            <v>321810425,0</v>
          </cell>
          <cell r="P36" t="str">
            <v>dogecoin</v>
          </cell>
        </row>
        <row r="37">
          <cell r="A37" t="str">
            <v>SNT</v>
          </cell>
          <cell r="B37" t="str">
            <v>36</v>
          </cell>
          <cell r="C37" t="str">
            <v>0,112638</v>
          </cell>
          <cell r="D37" t="str">
            <v>0,00001376</v>
          </cell>
          <cell r="E37" t="str">
            <v>38400200,0</v>
          </cell>
          <cell r="F37" t="str">
            <v>390908353,0</v>
          </cell>
          <cell r="G37" t="str">
            <v>3470483788,0</v>
          </cell>
          <cell r="H37" t="str">
            <v>6804870174,0</v>
          </cell>
          <cell r="I37" t="str">
            <v>3,98</v>
          </cell>
          <cell r="J37" t="str">
            <v>-17,0</v>
          </cell>
          <cell r="K37" t="str">
            <v>-29,22</v>
          </cell>
          <cell r="L37" t="str">
            <v>1521104651</v>
          </cell>
          <cell r="M37" t="str">
            <v>0,0909726439</v>
          </cell>
          <cell r="N37" t="str">
            <v>31014113,531</v>
          </cell>
          <cell r="O37" t="str">
            <v>315719086,0</v>
          </cell>
          <cell r="P37" t="str">
            <v>status</v>
          </cell>
        </row>
        <row r="38">
          <cell r="A38" t="str">
            <v>BTS</v>
          </cell>
          <cell r="B38" t="str">
            <v>37</v>
          </cell>
          <cell r="C38" t="str">
            <v>0,148833</v>
          </cell>
          <cell r="D38" t="str">
            <v>0,00001818</v>
          </cell>
          <cell r="E38" t="str">
            <v>11497200,0</v>
          </cell>
          <cell r="F38" t="str">
            <v>388583615,0</v>
          </cell>
          <cell r="G38" t="str">
            <v>2610870000,0</v>
          </cell>
          <cell r="H38" t="str">
            <v>2610870000,0</v>
          </cell>
          <cell r="I38" t="str">
            <v>5,39</v>
          </cell>
          <cell r="J38" t="str">
            <v>-9,45</v>
          </cell>
          <cell r="K38" t="str">
            <v>-15,81</v>
          </cell>
          <cell r="L38" t="str">
            <v>1521104643</v>
          </cell>
          <cell r="M38" t="str">
            <v>0,1202057166</v>
          </cell>
          <cell r="N38" t="str">
            <v>9285771,066</v>
          </cell>
          <cell r="O38" t="str">
            <v>313841499,0</v>
          </cell>
          <cell r="P38" t="str">
            <v>bitshares</v>
          </cell>
        </row>
        <row r="39">
          <cell r="A39" t="str">
            <v>SC</v>
          </cell>
          <cell r="B39" t="str">
            <v>38</v>
          </cell>
          <cell r="C39" t="str">
            <v>0,0116685</v>
          </cell>
          <cell r="D39" t="str">
            <v>0,00000143</v>
          </cell>
          <cell r="E39" t="str">
            <v>4769020,0</v>
          </cell>
          <cell r="F39" t="str">
            <v>386464792,0</v>
          </cell>
          <cell r="G39" t="str">
            <v>33120348989,0</v>
          </cell>
          <cell r="H39" t="str">
            <v>33120348989,0</v>
          </cell>
          <cell r="I39" t="str">
            <v>4,02</v>
          </cell>
          <cell r="J39" t="str">
            <v>-16,23</v>
          </cell>
          <cell r="K39" t="str">
            <v>-24,58</v>
          </cell>
          <cell r="L39" t="str">
            <v>1521104645</v>
          </cell>
          <cell r="M39" t="str">
            <v>0,0094241224</v>
          </cell>
          <cell r="N39" t="str">
            <v>3851722,8481</v>
          </cell>
          <cell r="O39" t="str">
            <v>312130222,0</v>
          </cell>
          <cell r="P39" t="str">
            <v>siacoin</v>
          </cell>
        </row>
        <row r="40">
          <cell r="A40" t="str">
            <v>AE</v>
          </cell>
          <cell r="B40" t="str">
            <v>39</v>
          </cell>
          <cell r="C40" t="str">
            <v>1,58217</v>
          </cell>
          <cell r="D40" t="str">
            <v>0,00019328</v>
          </cell>
          <cell r="E40" t="str">
            <v>3888160,0</v>
          </cell>
          <cell r="F40" t="str">
            <v>368678000,0</v>
          </cell>
          <cell r="G40" t="str">
            <v>233020472,0</v>
          </cell>
          <cell r="H40" t="str">
            <v>273685830,0</v>
          </cell>
          <cell r="I40" t="str">
            <v>2,93</v>
          </cell>
          <cell r="J40" t="str">
            <v>-8,07</v>
          </cell>
          <cell r="K40" t="str">
            <v>-14,49</v>
          </cell>
          <cell r="L40" t="str">
            <v>1521104650</v>
          </cell>
          <cell r="M40" t="str">
            <v>1,2778475114</v>
          </cell>
          <cell r="N40" t="str">
            <v>3140291,8648</v>
          </cell>
          <cell r="O40" t="str">
            <v>297764630,0</v>
          </cell>
          <cell r="P40" t="str">
            <v>aeternity</v>
          </cell>
        </row>
        <row r="41">
          <cell r="A41" t="str">
            <v>DCR</v>
          </cell>
          <cell r="B41" t="str">
            <v>40</v>
          </cell>
          <cell r="C41" t="str">
            <v>51,4595</v>
          </cell>
          <cell r="D41" t="str">
            <v>0,00628651</v>
          </cell>
          <cell r="E41" t="str">
            <v>1716650,0</v>
          </cell>
          <cell r="F41" t="str">
            <v>356975476,0</v>
          </cell>
          <cell r="G41" t="str">
            <v>6937018,0</v>
          </cell>
          <cell r="H41" t="str">
            <v>7357018,0</v>
          </cell>
          <cell r="I41" t="str">
            <v>4,79</v>
          </cell>
          <cell r="J41" t="str">
            <v>-13,83</v>
          </cell>
          <cell r="K41" t="str">
            <v>-20,15</v>
          </cell>
          <cell r="L41" t="str">
            <v>1521104646</v>
          </cell>
          <cell r="M41" t="str">
            <v>41,5615224725</v>
          </cell>
          <cell r="N41" t="str">
            <v>1386460,95575</v>
          </cell>
          <cell r="O41" t="str">
            <v>288313028,0</v>
          </cell>
          <cell r="P41" t="str">
            <v>decred</v>
          </cell>
        </row>
        <row r="42">
          <cell r="A42" t="str">
            <v>REP</v>
          </cell>
          <cell r="B42" t="str">
            <v>41</v>
          </cell>
          <cell r="C42" t="str">
            <v>31,2628</v>
          </cell>
          <cell r="D42" t="str">
            <v>0,00381921</v>
          </cell>
          <cell r="E42" t="str">
            <v>5494670,0</v>
          </cell>
          <cell r="F42" t="str">
            <v>343890800,0</v>
          </cell>
          <cell r="G42" t="str">
            <v>11000000,0</v>
          </cell>
          <cell r="H42" t="str">
            <v>11000000,0</v>
          </cell>
          <cell r="I42" t="str">
            <v>2,76</v>
          </cell>
          <cell r="J42" t="str">
            <v>-14,58</v>
          </cell>
          <cell r="K42" t="str">
            <v>-21,51</v>
          </cell>
          <cell r="L42" t="str">
            <v>1521104645</v>
          </cell>
          <cell r="M42" t="str">
            <v>25,249556734</v>
          </cell>
          <cell r="N42" t="str">
            <v>4437797,69885</v>
          </cell>
          <cell r="O42" t="str">
            <v>277745124,0</v>
          </cell>
          <cell r="P42" t="str">
            <v>augur</v>
          </cell>
        </row>
        <row r="43">
          <cell r="A43" t="str">
            <v>BTM</v>
          </cell>
          <cell r="B43" t="str">
            <v>42</v>
          </cell>
          <cell r="C43" t="str">
            <v>0,343021</v>
          </cell>
          <cell r="D43" t="str">
            <v>0,00004190</v>
          </cell>
          <cell r="E43" t="str">
            <v>15663100,0</v>
          </cell>
          <cell r="F43" t="str">
            <v>338561727,0</v>
          </cell>
          <cell r="G43" t="str">
            <v>987000000,0</v>
          </cell>
          <cell r="H43" t="str">
            <v>1407000000,0</v>
          </cell>
          <cell r="I43" t="str">
            <v>4,13</v>
          </cell>
          <cell r="J43" t="str">
            <v>-6,41</v>
          </cell>
          <cell r="K43" t="str">
            <v>-8,33</v>
          </cell>
          <cell r="L43" t="str">
            <v>1521104652</v>
          </cell>
          <cell r="M43" t="str">
            <v>0,2770426258</v>
          </cell>
          <cell r="N43" t="str">
            <v>12650381,0305</v>
          </cell>
          <cell r="O43" t="str">
            <v>273441072,0</v>
          </cell>
          <cell r="P43" t="str">
            <v>bytom</v>
          </cell>
        </row>
        <row r="44">
          <cell r="A44" t="str">
            <v>WTC</v>
          </cell>
          <cell r="B44" t="str">
            <v>43</v>
          </cell>
          <cell r="C44" t="str">
            <v>12,9688</v>
          </cell>
          <cell r="D44" t="str">
            <v>0,00158433</v>
          </cell>
          <cell r="E44" t="str">
            <v>8056280,0</v>
          </cell>
          <cell r="F44" t="str">
            <v>322899491,0</v>
          </cell>
          <cell r="G44" t="str">
            <v>24898178,0</v>
          </cell>
          <cell r="H44" t="str">
            <v>70000000,0</v>
          </cell>
          <cell r="I44" t="str">
            <v>3,64</v>
          </cell>
          <cell r="J44" t="str">
            <v>-14,16</v>
          </cell>
          <cell r="K44" t="str">
            <v>-27,31</v>
          </cell>
          <cell r="L44" t="str">
            <v>1521104652</v>
          </cell>
          <cell r="M44" t="str">
            <v>10,474316164</v>
          </cell>
          <cell r="N44" t="str">
            <v>6506694,8234</v>
          </cell>
          <cell r="O44" t="str">
            <v>260791388,0</v>
          </cell>
          <cell r="P44" t="str">
            <v>waltonchain</v>
          </cell>
        </row>
        <row r="45">
          <cell r="A45" t="str">
            <v>KMD</v>
          </cell>
          <cell r="B45" t="str">
            <v>44</v>
          </cell>
          <cell r="C45" t="str">
            <v>2,94262</v>
          </cell>
          <cell r="D45" t="str">
            <v>0,00035948</v>
          </cell>
          <cell r="E45" t="str">
            <v>1699460,0</v>
          </cell>
          <cell r="F45" t="str">
            <v>306105604,0</v>
          </cell>
          <cell r="G45" t="str">
            <v>104024850,0</v>
          </cell>
          <cell r="H45" t="str">
            <v>104024850,0</v>
          </cell>
          <cell r="I45" t="str">
            <v>4,35</v>
          </cell>
          <cell r="J45" t="str">
            <v>-15,25</v>
          </cell>
          <cell r="K45" t="str">
            <v>-19,62</v>
          </cell>
          <cell r="L45" t="str">
            <v>1521104648</v>
          </cell>
          <cell r="M45" t="str">
            <v>2,3766217561</v>
          </cell>
          <cell r="N45" t="str">
            <v>1372577,3663</v>
          </cell>
          <cell r="O45" t="str">
            <v>247227722,0</v>
          </cell>
          <cell r="P45" t="str">
            <v>komodo</v>
          </cell>
        </row>
        <row r="46">
          <cell r="A46" t="str">
            <v>ARK</v>
          </cell>
          <cell r="B46" t="str">
            <v>45</v>
          </cell>
          <cell r="C46" t="str">
            <v>2,81425</v>
          </cell>
          <cell r="D46" t="str">
            <v>0,0003438</v>
          </cell>
          <cell r="E46" t="str">
            <v>2055500,0</v>
          </cell>
          <cell r="F46" t="str">
            <v>284929287,0</v>
          </cell>
          <cell r="G46" t="str">
            <v>101245194,0</v>
          </cell>
          <cell r="H46" t="str">
            <v>132495194,0</v>
          </cell>
          <cell r="I46" t="str">
            <v>3,77</v>
          </cell>
          <cell r="J46" t="str">
            <v>-16,86</v>
          </cell>
          <cell r="K46" t="str">
            <v>-18,95</v>
          </cell>
          <cell r="L46" t="str">
            <v>1521104649</v>
          </cell>
          <cell r="M46" t="str">
            <v>2,2729430837</v>
          </cell>
          <cell r="N46" t="str">
            <v>1660134,8525</v>
          </cell>
          <cell r="O46" t="str">
            <v>230124563,0</v>
          </cell>
          <cell r="P46" t="str">
            <v>ark</v>
          </cell>
        </row>
        <row r="47">
          <cell r="A47" t="str">
            <v>ARDR</v>
          </cell>
          <cell r="B47" t="str">
            <v>46</v>
          </cell>
          <cell r="C47" t="str">
            <v>0,2777</v>
          </cell>
          <cell r="D47" t="str">
            <v>0,00003392</v>
          </cell>
          <cell r="E47" t="str">
            <v>6245260,0</v>
          </cell>
          <cell r="F47" t="str">
            <v>277422160,0</v>
          </cell>
          <cell r="G47" t="str">
            <v>998999495,0</v>
          </cell>
          <cell r="H47" t="str">
            <v>998999495,0</v>
          </cell>
          <cell r="I47" t="str">
            <v>5,22</v>
          </cell>
          <cell r="J47" t="str">
            <v>-18,97</v>
          </cell>
          <cell r="K47" t="str">
            <v>-18,14</v>
          </cell>
          <cell r="L47" t="str">
            <v>1521104647</v>
          </cell>
          <cell r="M47" t="str">
            <v>0,2242857935</v>
          </cell>
          <cell r="N47" t="str">
            <v>5044015,4653</v>
          </cell>
          <cell r="O47" t="str">
            <v>224061394,0</v>
          </cell>
          <cell r="P47" t="str">
            <v>ardor</v>
          </cell>
        </row>
        <row r="48">
          <cell r="A48" t="str">
            <v>ZIL</v>
          </cell>
          <cell r="B48" t="str">
            <v>47</v>
          </cell>
          <cell r="C48" t="str">
            <v>0,0414652</v>
          </cell>
          <cell r="D48" t="str">
            <v>0,00000507</v>
          </cell>
          <cell r="E48" t="str">
            <v>13915800,0</v>
          </cell>
          <cell r="F48" t="str">
            <v>273891204,0</v>
          </cell>
          <cell r="G48" t="str">
            <v>6605326966,0</v>
          </cell>
          <cell r="H48" t="str">
            <v>12600000000,0</v>
          </cell>
          <cell r="I48" t="str">
            <v>4,35</v>
          </cell>
          <cell r="J48" t="str">
            <v>-11,83</v>
          </cell>
          <cell r="K48" t="str">
            <v>1,77</v>
          </cell>
          <cell r="L48" t="str">
            <v>1521104659</v>
          </cell>
          <cell r="M48" t="str">
            <v>0,0334895761</v>
          </cell>
          <cell r="N48" t="str">
            <v>11239165,449</v>
          </cell>
          <cell r="O48" t="str">
            <v>221209600,0</v>
          </cell>
          <cell r="P48" t="str">
            <v>zilliqa</v>
          </cell>
        </row>
        <row r="49">
          <cell r="A49" t="str">
            <v>ETN</v>
          </cell>
          <cell r="B49" t="str">
            <v>48</v>
          </cell>
          <cell r="C49" t="str">
            <v>0,0399625</v>
          </cell>
          <cell r="D49" t="str">
            <v>0,00000488</v>
          </cell>
          <cell r="E49" t="str">
            <v>2086070,0</v>
          </cell>
          <cell r="F49" t="str">
            <v>256908198,0</v>
          </cell>
          <cell r="G49" t="str">
            <v>6428731889,0</v>
          </cell>
          <cell r="H49" t="str">
            <v>6428731889,0</v>
          </cell>
          <cell r="I49" t="str">
            <v>1,84</v>
          </cell>
          <cell r="J49" t="str">
            <v>-19,82</v>
          </cell>
          <cell r="K49" t="str">
            <v>-28,72</v>
          </cell>
          <cell r="L49" t="str">
            <v>1521104655</v>
          </cell>
          <cell r="M49" t="str">
            <v>0,0322759129</v>
          </cell>
          <cell r="N49" t="str">
            <v>1684824,86585</v>
          </cell>
          <cell r="O49" t="str">
            <v>207493191,0</v>
          </cell>
          <cell r="P49" t="str">
            <v>electroneum</v>
          </cell>
        </row>
        <row r="50">
          <cell r="A50" t="str">
            <v>VERI</v>
          </cell>
          <cell r="B50" t="str">
            <v>49</v>
          </cell>
          <cell r="C50" t="str">
            <v>126,063</v>
          </cell>
          <cell r="D50" t="str">
            <v>0,0154004</v>
          </cell>
          <cell r="E50" t="str">
            <v>702253,0</v>
          </cell>
          <cell r="F50" t="str">
            <v>256745634,0</v>
          </cell>
          <cell r="G50" t="str">
            <v>2036645,0</v>
          </cell>
          <cell r="H50" t="str">
            <v>100000000,0</v>
          </cell>
          <cell r="I50" t="str">
            <v>1,47</v>
          </cell>
          <cell r="J50" t="str">
            <v>-18,21</v>
          </cell>
          <cell r="K50" t="str">
            <v>-30,59</v>
          </cell>
          <cell r="L50" t="str">
            <v>1521104652</v>
          </cell>
          <cell r="M50" t="str">
            <v>101,815412265</v>
          </cell>
          <cell r="N50" t="str">
            <v>567178,146715</v>
          </cell>
          <cell r="O50" t="str">
            <v>207361895,0</v>
          </cell>
          <cell r="P50" t="str">
            <v>veritaseum</v>
          </cell>
        </row>
        <row r="51">
          <cell r="A51" t="str">
            <v>CNX</v>
          </cell>
          <cell r="B51" t="str">
            <v>50</v>
          </cell>
          <cell r="C51" t="str">
            <v>5,64698</v>
          </cell>
          <cell r="D51" t="str">
            <v>0,00068986</v>
          </cell>
          <cell r="E51" t="str">
            <v>176309,0</v>
          </cell>
          <cell r="F51" t="str">
            <v>255047465,0</v>
          </cell>
          <cell r="G51" t="str">
            <v>45165286,0</v>
          </cell>
          <cell r="H51" t="str">
            <v>106602911,0</v>
          </cell>
          <cell r="I51" t="str">
            <v>4,46</v>
          </cell>
          <cell r="J51" t="str">
            <v>-9,31</v>
          </cell>
          <cell r="K51" t="str">
            <v>-16,94</v>
          </cell>
          <cell r="L51" t="str">
            <v>1521104655</v>
          </cell>
          <cell r="M51" t="str">
            <v>4,5608116319</v>
          </cell>
          <cell r="N51" t="str">
            <v>142396,845395</v>
          </cell>
          <cell r="O51" t="str">
            <v>205990360,0</v>
          </cell>
          <cell r="P51" t="str">
            <v>cryptonex</v>
          </cell>
        </row>
        <row r="52">
          <cell r="A52" t="str">
            <v>ZRX</v>
          </cell>
          <cell r="B52" t="str">
            <v>51</v>
          </cell>
          <cell r="C52" t="str">
            <v>0,490527</v>
          </cell>
          <cell r="D52" t="str">
            <v>0,00005992</v>
          </cell>
          <cell r="E52" t="str">
            <v>5336410,0</v>
          </cell>
          <cell r="F52" t="str">
            <v>254006165,0</v>
          </cell>
          <cell r="G52" t="str">
            <v>517823005,0</v>
          </cell>
          <cell r="H52" t="str">
            <v>1000000000,0</v>
          </cell>
          <cell r="I52" t="str">
            <v>3,85</v>
          </cell>
          <cell r="J52" t="str">
            <v>-17,72</v>
          </cell>
          <cell r="K52" t="str">
            <v>-29,84</v>
          </cell>
          <cell r="L52" t="str">
            <v>1521104653</v>
          </cell>
          <cell r="M52" t="str">
            <v>0,3961765842</v>
          </cell>
          <cell r="N52" t="str">
            <v>4309978,21855</v>
          </cell>
          <cell r="O52" t="str">
            <v>205149349,0</v>
          </cell>
          <cell r="P52" t="str">
            <v>0x</v>
          </cell>
        </row>
        <row r="53">
          <cell r="A53" t="str">
            <v>KCS</v>
          </cell>
          <cell r="B53" t="str">
            <v>52</v>
          </cell>
          <cell r="C53" t="str">
            <v>2,62472</v>
          </cell>
          <cell r="D53" t="str">
            <v>0,00032065</v>
          </cell>
          <cell r="E53" t="str">
            <v>1012430,0</v>
          </cell>
          <cell r="F53" t="str">
            <v>238962582,0</v>
          </cell>
          <cell r="G53" t="str">
            <v>91043076,0</v>
          </cell>
          <cell r="H53" t="str">
            <v>181043076,0</v>
          </cell>
          <cell r="I53" t="str">
            <v>3,69</v>
          </cell>
          <cell r="J53" t="str">
            <v>-17,89</v>
          </cell>
          <cell r="K53" t="str">
            <v>-18,25</v>
          </cell>
          <cell r="L53" t="str">
            <v>1521104655</v>
          </cell>
          <cell r="M53" t="str">
            <v>2,1198682316</v>
          </cell>
          <cell r="N53" t="str">
            <v>817694,15165</v>
          </cell>
          <cell r="O53" t="str">
            <v>192999325,0</v>
          </cell>
          <cell r="P53" t="str">
            <v>kucoin-shares</v>
          </cell>
        </row>
        <row r="54">
          <cell r="A54" t="str">
            <v>HSR</v>
          </cell>
          <cell r="B54" t="str">
            <v>53</v>
          </cell>
          <cell r="C54" t="str">
            <v>5,55056</v>
          </cell>
          <cell r="D54" t="str">
            <v>0,00067808</v>
          </cell>
          <cell r="E54" t="str">
            <v>20606700,0</v>
          </cell>
          <cell r="F54" t="str">
            <v>237229709,0</v>
          </cell>
          <cell r="G54" t="str">
            <v>42739779,0</v>
          </cell>
          <cell r="H54" t="str">
            <v>42739779,0</v>
          </cell>
          <cell r="I54" t="str">
            <v>4,39</v>
          </cell>
          <cell r="J54" t="str">
            <v>-8,67</v>
          </cell>
          <cell r="K54" t="str">
            <v>-16,49</v>
          </cell>
          <cell r="L54" t="str">
            <v>1521104653</v>
          </cell>
          <cell r="M54" t="str">
            <v>4,4829375368</v>
          </cell>
          <cell r="N54" t="str">
            <v>16643104,2885</v>
          </cell>
          <cell r="O54" t="str">
            <v>191599761,0</v>
          </cell>
          <cell r="P54" t="str">
            <v>hshare</v>
          </cell>
        </row>
        <row r="55">
          <cell r="A55" t="str">
            <v>AION</v>
          </cell>
          <cell r="B55" t="str">
            <v>54</v>
          </cell>
          <cell r="C55" t="str">
            <v>2,20806</v>
          </cell>
          <cell r="D55" t="str">
            <v>0,00026975</v>
          </cell>
          <cell r="E55" t="str">
            <v>5070790,0</v>
          </cell>
          <cell r="F55" t="str">
            <v>234007986,0</v>
          </cell>
          <cell r="G55" t="str">
            <v>105978998,0</v>
          </cell>
          <cell r="H55" t="str">
            <v>465934587,0</v>
          </cell>
          <cell r="I55" t="str">
            <v>3,27</v>
          </cell>
          <cell r="J55" t="str">
            <v>-9,26</v>
          </cell>
          <cell r="K55" t="str">
            <v>-19,16</v>
          </cell>
          <cell r="L55" t="str">
            <v>1521104655</v>
          </cell>
          <cell r="M55" t="str">
            <v>1,7833506993</v>
          </cell>
          <cell r="N55" t="str">
            <v>4095448,89745</v>
          </cell>
          <cell r="O55" t="str">
            <v>188997720,0</v>
          </cell>
          <cell r="P55" t="str">
            <v>aion</v>
          </cell>
        </row>
        <row r="56">
          <cell r="A56" t="str">
            <v>MONA</v>
          </cell>
          <cell r="B56" t="str">
            <v>55</v>
          </cell>
          <cell r="C56" t="str">
            <v>3,93368</v>
          </cell>
          <cell r="D56" t="str">
            <v>0,00048056</v>
          </cell>
          <cell r="E56" t="str">
            <v>2456850,0</v>
          </cell>
          <cell r="F56" t="str">
            <v>228454956,0</v>
          </cell>
          <cell r="G56" t="str">
            <v>58076650,0</v>
          </cell>
          <cell r="H56" t="str">
            <v>58076650,0</v>
          </cell>
          <cell r="I56" t="str">
            <v>3,14</v>
          </cell>
          <cell r="J56" t="str">
            <v>-7,34</v>
          </cell>
          <cell r="K56" t="str">
            <v>-11,34</v>
          </cell>
          <cell r="L56" t="str">
            <v>1521104642</v>
          </cell>
          <cell r="M56" t="str">
            <v>3,1770563204</v>
          </cell>
          <cell r="N56" t="str">
            <v>1984287,18675</v>
          </cell>
          <cell r="O56" t="str">
            <v>184512788,0</v>
          </cell>
          <cell r="P56" t="str">
            <v>monacoin</v>
          </cell>
        </row>
        <row r="57">
          <cell r="A57" t="str">
            <v>DGB</v>
          </cell>
          <cell r="B57" t="str">
            <v>56</v>
          </cell>
          <cell r="C57" t="str">
            <v>0,0217211</v>
          </cell>
          <cell r="D57" t="str">
            <v>0,00000265</v>
          </cell>
          <cell r="E57" t="str">
            <v>2499440,0</v>
          </cell>
          <cell r="F57" t="str">
            <v>216664416,0</v>
          </cell>
          <cell r="G57" t="str">
            <v>9974836281,0</v>
          </cell>
          <cell r="H57" t="str">
            <v>9974836281,0</v>
          </cell>
          <cell r="I57" t="str">
            <v>4,41</v>
          </cell>
          <cell r="J57" t="str">
            <v>-17,15</v>
          </cell>
          <cell r="K57" t="str">
            <v>-22,98</v>
          </cell>
          <cell r="L57" t="str">
            <v>1521104641</v>
          </cell>
          <cell r="M57" t="str">
            <v>0,017543155</v>
          </cell>
          <cell r="N57" t="str">
            <v>2018685,2132</v>
          </cell>
          <cell r="O57" t="str">
            <v>174990099,0</v>
          </cell>
          <cell r="P57" t="str">
            <v>digibyte</v>
          </cell>
        </row>
        <row r="58">
          <cell r="A58" t="str">
            <v>PIVX</v>
          </cell>
          <cell r="B58" t="str">
            <v>57</v>
          </cell>
          <cell r="C58" t="str">
            <v>3,79024</v>
          </cell>
          <cell r="D58" t="str">
            <v>0,00046303</v>
          </cell>
          <cell r="E58" t="str">
            <v>1975690,0</v>
          </cell>
          <cell r="F58" t="str">
            <v>211354737,0</v>
          </cell>
          <cell r="G58" t="str">
            <v>55762890,0</v>
          </cell>
          <cell r="H58" t="str">
            <v>55762890,0</v>
          </cell>
          <cell r="I58" t="str">
            <v>4,05</v>
          </cell>
          <cell r="J58" t="str">
            <v>-18,28</v>
          </cell>
          <cell r="K58" t="str">
            <v>-24,3</v>
          </cell>
          <cell r="L58" t="str">
            <v>1521104646</v>
          </cell>
          <cell r="M58" t="str">
            <v>3,0612062872</v>
          </cell>
          <cell r="N58" t="str">
            <v>1595675,90695</v>
          </cell>
          <cell r="O58" t="str">
            <v>170701710,0</v>
          </cell>
          <cell r="P58" t="str">
            <v>pivx</v>
          </cell>
        </row>
        <row r="59">
          <cell r="A59" t="str">
            <v>BAT</v>
          </cell>
          <cell r="B59" t="str">
            <v>58</v>
          </cell>
          <cell r="C59" t="str">
            <v>0,203954</v>
          </cell>
          <cell r="D59" t="str">
            <v>0,00002492</v>
          </cell>
          <cell r="E59" t="str">
            <v>6008140,0</v>
          </cell>
          <cell r="F59" t="str">
            <v>203954000,0</v>
          </cell>
          <cell r="G59" t="str">
            <v>1000000000,0</v>
          </cell>
          <cell r="H59" t="str">
            <v>1500000000,0</v>
          </cell>
          <cell r="I59" t="str">
            <v>2,63</v>
          </cell>
          <cell r="J59" t="str">
            <v>-16,57</v>
          </cell>
          <cell r="K59" t="str">
            <v>-29,49</v>
          </cell>
          <cell r="L59" t="str">
            <v>1521104650</v>
          </cell>
          <cell r="M59" t="str">
            <v>0,1647244679</v>
          </cell>
          <cell r="N59" t="str">
            <v>4852504,3117</v>
          </cell>
          <cell r="O59" t="str">
            <v>164724468,0</v>
          </cell>
          <cell r="P59" t="str">
            <v>basic-attention-token</v>
          </cell>
        </row>
        <row r="60">
          <cell r="A60" t="str">
            <v>GAS</v>
          </cell>
          <cell r="B60" t="str">
            <v>59</v>
          </cell>
          <cell r="C60" t="str">
            <v>20,3858</v>
          </cell>
          <cell r="D60" t="str">
            <v>0,00249042</v>
          </cell>
          <cell r="E60" t="str">
            <v>5911240,0</v>
          </cell>
          <cell r="F60" t="str">
            <v>202029419,0</v>
          </cell>
          <cell r="G60" t="str">
            <v>9910301,0</v>
          </cell>
          <cell r="H60" t="str">
            <v>16171612,0</v>
          </cell>
          <cell r="I60" t="str">
            <v>3,4</v>
          </cell>
          <cell r="J60" t="str">
            <v>-11,98</v>
          </cell>
          <cell r="K60" t="str">
            <v>-25,49</v>
          </cell>
          <cell r="L60" t="str">
            <v>1521104652</v>
          </cell>
          <cell r="M60" t="str">
            <v>16,464693299</v>
          </cell>
          <cell r="N60" t="str">
            <v>4774242,5422</v>
          </cell>
          <cell r="O60" t="str">
            <v>163170070,0</v>
          </cell>
          <cell r="P60" t="str">
            <v>gas</v>
          </cell>
        </row>
        <row r="61">
          <cell r="A61" t="str">
            <v>ETHOS</v>
          </cell>
          <cell r="B61" t="str">
            <v>60</v>
          </cell>
          <cell r="C61" t="str">
            <v>2,65858</v>
          </cell>
          <cell r="D61" t="str">
            <v>0,00032478</v>
          </cell>
          <cell r="E61" t="str">
            <v>1792490,0</v>
          </cell>
          <cell r="F61" t="str">
            <v>201986047,0</v>
          </cell>
          <cell r="G61" t="str">
            <v>75975162,0</v>
          </cell>
          <cell r="H61" t="str">
            <v>222295208,0</v>
          </cell>
          <cell r="I61" t="str">
            <v>5,34</v>
          </cell>
          <cell r="J61" t="str">
            <v>-13,36</v>
          </cell>
          <cell r="K61" t="str">
            <v>-31,51</v>
          </cell>
          <cell r="L61" t="str">
            <v>1521104652</v>
          </cell>
          <cell r="M61" t="str">
            <v>2,1472154299</v>
          </cell>
          <cell r="N61" t="str">
            <v>1447713,51095</v>
          </cell>
          <cell r="O61" t="str">
            <v>163135041,0</v>
          </cell>
          <cell r="P61" t="str">
            <v>ethos</v>
          </cell>
        </row>
        <row r="62">
          <cell r="A62" t="str">
            <v>QASH</v>
          </cell>
          <cell r="B62" t="str">
            <v>61</v>
          </cell>
          <cell r="C62" t="str">
            <v>0,571226</v>
          </cell>
          <cell r="D62" t="str">
            <v>0,00006978</v>
          </cell>
          <cell r="E62" t="str">
            <v>5610830,0</v>
          </cell>
          <cell r="F62" t="str">
            <v>199929100,0</v>
          </cell>
          <cell r="G62" t="str">
            <v>350000000,0</v>
          </cell>
          <cell r="H62" t="str">
            <v>1000000000,0</v>
          </cell>
          <cell r="I62" t="str">
            <v>2,83</v>
          </cell>
          <cell r="J62" t="str">
            <v>-10,94</v>
          </cell>
          <cell r="K62" t="str">
            <v>-16,89</v>
          </cell>
          <cell r="L62" t="str">
            <v>1521104656</v>
          </cell>
          <cell r="M62" t="str">
            <v>0,461353535</v>
          </cell>
          <cell r="N62" t="str">
            <v>4531614,90365</v>
          </cell>
          <cell r="O62" t="str">
            <v>161473737,0</v>
          </cell>
          <cell r="P62" t="str">
            <v>qash</v>
          </cell>
        </row>
        <row r="63">
          <cell r="A63" t="str">
            <v>FCT</v>
          </cell>
          <cell r="B63" t="str">
            <v>62</v>
          </cell>
          <cell r="C63" t="str">
            <v>22,6698</v>
          </cell>
          <cell r="D63" t="str">
            <v>0,00276944</v>
          </cell>
          <cell r="E63" t="str">
            <v>2038990,0</v>
          </cell>
          <cell r="F63" t="str">
            <v>198249713,0</v>
          </cell>
          <cell r="G63" t="str">
            <v>8745102,0</v>
          </cell>
          <cell r="H63" t="str">
            <v>8745102,0</v>
          </cell>
          <cell r="I63" t="str">
            <v>2,14</v>
          </cell>
          <cell r="J63" t="str">
            <v>-14,21</v>
          </cell>
          <cell r="K63" t="str">
            <v>-18,66</v>
          </cell>
          <cell r="L63" t="str">
            <v>1521104645</v>
          </cell>
          <cell r="M63" t="str">
            <v>18,309377319</v>
          </cell>
          <cell r="N63" t="str">
            <v>1646800,46845</v>
          </cell>
          <cell r="O63" t="str">
            <v>160117372,0</v>
          </cell>
          <cell r="P63" t="str">
            <v>factom</v>
          </cell>
        </row>
        <row r="64">
          <cell r="A64" t="str">
            <v>SYS</v>
          </cell>
          <cell r="B64" t="str">
            <v>63</v>
          </cell>
          <cell r="C64" t="str">
            <v>0,371658</v>
          </cell>
          <cell r="D64" t="str">
            <v>0,00004540</v>
          </cell>
          <cell r="E64" t="str">
            <v>2543650,0</v>
          </cell>
          <cell r="F64" t="str">
            <v>197574068,0</v>
          </cell>
          <cell r="G64" t="str">
            <v>531601817,0</v>
          </cell>
          <cell r="H64" t="str">
            <v>531601817,0</v>
          </cell>
          <cell r="I64" t="str">
            <v>4,52</v>
          </cell>
          <cell r="J64" t="str">
            <v>-20,94</v>
          </cell>
          <cell r="K64" t="str">
            <v>-37,05</v>
          </cell>
          <cell r="L64" t="str">
            <v>1521104643</v>
          </cell>
          <cell r="M64" t="str">
            <v>0,300171442</v>
          </cell>
          <cell r="N64" t="str">
            <v>2054391,64075</v>
          </cell>
          <cell r="O64" t="str">
            <v>159571684,0</v>
          </cell>
          <cell r="P64" t="str">
            <v>syscoin</v>
          </cell>
        </row>
        <row r="65">
          <cell r="A65" t="str">
            <v>GNT</v>
          </cell>
          <cell r="B65" t="str">
            <v>64</v>
          </cell>
          <cell r="C65" t="str">
            <v>0,236686</v>
          </cell>
          <cell r="D65" t="str">
            <v>0,00002891</v>
          </cell>
          <cell r="E65" t="str">
            <v>9167730,0</v>
          </cell>
          <cell r="F65" t="str">
            <v>197458136,0</v>
          </cell>
          <cell r="G65" t="str">
            <v>834262000,0</v>
          </cell>
          <cell r="H65" t="str">
            <v>1000000000,0</v>
          </cell>
          <cell r="I65" t="str">
            <v>2,16</v>
          </cell>
          <cell r="J65" t="str">
            <v>-20,59</v>
          </cell>
          <cell r="K65" t="str">
            <v>-34,03</v>
          </cell>
          <cell r="L65" t="str">
            <v>1521104648</v>
          </cell>
          <cell r="M65" t="str">
            <v>0,1911606313</v>
          </cell>
          <cell r="N65" t="str">
            <v>7404362,97315</v>
          </cell>
          <cell r="O65" t="str">
            <v>159478051,0</v>
          </cell>
          <cell r="P65" t="str">
            <v>golem-network-tokens</v>
          </cell>
        </row>
        <row r="66">
          <cell r="A66" t="str">
            <v>R</v>
          </cell>
          <cell r="B66" t="str">
            <v>65</v>
          </cell>
          <cell r="C66" t="str">
            <v>1,06532</v>
          </cell>
          <cell r="D66" t="str">
            <v>0,00013014</v>
          </cell>
          <cell r="E66" t="str">
            <v>5302550,0</v>
          </cell>
          <cell r="F66" t="str">
            <v>196498274,0</v>
          </cell>
          <cell r="G66" t="str">
            <v>184450000,0</v>
          </cell>
          <cell r="H66" t="str">
            <v>484450000,0</v>
          </cell>
          <cell r="I66" t="str">
            <v>3,39</v>
          </cell>
          <cell r="J66" t="str">
            <v>-10,52</v>
          </cell>
          <cell r="K66" t="str">
            <v>-6,99</v>
          </cell>
          <cell r="L66" t="str">
            <v>1521104655</v>
          </cell>
          <cell r="M66" t="str">
            <v>0,8604110246</v>
          </cell>
          <cell r="N66" t="str">
            <v>4282631,02025</v>
          </cell>
          <cell r="O66" t="str">
            <v>158702813,0</v>
          </cell>
          <cell r="P66" t="str">
            <v>revain</v>
          </cell>
        </row>
        <row r="67">
          <cell r="A67" t="str">
            <v>DRGN</v>
          </cell>
          <cell r="B67" t="str">
            <v>66</v>
          </cell>
          <cell r="C67" t="str">
            <v>0,811482</v>
          </cell>
          <cell r="D67" t="str">
            <v>0,00009913</v>
          </cell>
          <cell r="E67" t="str">
            <v>2269910,0</v>
          </cell>
          <cell r="F67" t="str">
            <v>193475113,0</v>
          </cell>
          <cell r="G67" t="str">
            <v>238421940,0</v>
          </cell>
          <cell r="H67" t="str">
            <v>433494437,0</v>
          </cell>
          <cell r="I67" t="str">
            <v>4,17</v>
          </cell>
          <cell r="J67" t="str">
            <v>-22,66</v>
          </cell>
          <cell r="K67" t="str">
            <v>-35,8</v>
          </cell>
          <cell r="L67" t="str">
            <v>1521104657</v>
          </cell>
          <cell r="M67" t="str">
            <v>0,6553974947</v>
          </cell>
          <cell r="N67" t="str">
            <v>1833304,16105</v>
          </cell>
          <cell r="O67" t="str">
            <v>156261142,0</v>
          </cell>
          <cell r="P67" t="str">
            <v>dragonchain</v>
          </cell>
        </row>
        <row r="68">
          <cell r="A68" t="str">
            <v>NAS</v>
          </cell>
          <cell r="B68" t="str">
            <v>67</v>
          </cell>
          <cell r="C68" t="str">
            <v>5,31549</v>
          </cell>
          <cell r="D68" t="str">
            <v>0,00064936</v>
          </cell>
          <cell r="E68" t="str">
            <v>7998830,0</v>
          </cell>
          <cell r="F68" t="str">
            <v>188699895,0</v>
          </cell>
          <cell r="G68" t="str">
            <v>35500000,0</v>
          </cell>
          <cell r="H68" t="str">
            <v>100000000,0</v>
          </cell>
          <cell r="I68" t="str">
            <v>3,21</v>
          </cell>
          <cell r="J68" t="str">
            <v>-10,93</v>
          </cell>
          <cell r="K68" t="str">
            <v>-16,08</v>
          </cell>
          <cell r="L68" t="str">
            <v>1521104653</v>
          </cell>
          <cell r="M68" t="str">
            <v>4,293082076</v>
          </cell>
          <cell r="N68" t="str">
            <v>6460295,04365</v>
          </cell>
          <cell r="O68" t="str">
            <v>152404414,0</v>
          </cell>
          <cell r="P68" t="str">
            <v>nebulas-token</v>
          </cell>
        </row>
        <row r="69">
          <cell r="A69" t="str">
            <v>LRC</v>
          </cell>
          <cell r="B69" t="str">
            <v>68</v>
          </cell>
          <cell r="C69" t="str">
            <v>0,308796</v>
          </cell>
          <cell r="D69" t="str">
            <v>0,00003772</v>
          </cell>
          <cell r="E69" t="str">
            <v>2298500,0</v>
          </cell>
          <cell r="F69" t="str">
            <v>176654176,0</v>
          </cell>
          <cell r="G69" t="str">
            <v>572074043,0</v>
          </cell>
          <cell r="H69" t="str">
            <v>1374956262,0</v>
          </cell>
          <cell r="I69" t="str">
            <v>2,43</v>
          </cell>
          <cell r="J69" t="str">
            <v>-9,11</v>
          </cell>
          <cell r="K69" t="str">
            <v>-25,46</v>
          </cell>
          <cell r="L69" t="str">
            <v>1521104653</v>
          </cell>
          <cell r="M69" t="str">
            <v>0,2494006334</v>
          </cell>
          <cell r="N69" t="str">
            <v>1856395,0175</v>
          </cell>
          <cell r="O69" t="str">
            <v>142675629,0</v>
          </cell>
          <cell r="P69" t="str">
            <v>loopring</v>
          </cell>
        </row>
        <row r="70">
          <cell r="A70" t="str">
            <v>GXS</v>
          </cell>
          <cell r="B70" t="str">
            <v>69</v>
          </cell>
          <cell r="C70" t="str">
            <v>2,835</v>
          </cell>
          <cell r="D70" t="str">
            <v>0,00034634</v>
          </cell>
          <cell r="E70" t="str">
            <v>7204540,0</v>
          </cell>
          <cell r="F70" t="str">
            <v>170100000,0</v>
          </cell>
          <cell r="G70" t="str">
            <v>60000000,0</v>
          </cell>
          <cell r="H70" t="str">
            <v>100000000,0</v>
          </cell>
          <cell r="I70" t="str">
            <v>2,63</v>
          </cell>
          <cell r="J70" t="str">
            <v>-6,1</v>
          </cell>
          <cell r="K70" t="str">
            <v>-11,06</v>
          </cell>
          <cell r="L70" t="str">
            <v>1521104651</v>
          </cell>
          <cell r="M70" t="str">
            <v>2,289701925</v>
          </cell>
          <cell r="N70" t="str">
            <v>5818782,7537</v>
          </cell>
          <cell r="O70" t="str">
            <v>137382116,0</v>
          </cell>
          <cell r="P70" t="str">
            <v>gxchain</v>
          </cell>
        </row>
        <row r="71">
          <cell r="A71" t="str">
            <v>FUN</v>
          </cell>
          <cell r="B71" t="str">
            <v>70</v>
          </cell>
          <cell r="C71" t="str">
            <v>0,0366068</v>
          </cell>
          <cell r="D71" t="str">
            <v>0,00000447</v>
          </cell>
          <cell r="E71" t="str">
            <v>1647160,0</v>
          </cell>
          <cell r="F71" t="str">
            <v>168577048,0</v>
          </cell>
          <cell r="G71" t="str">
            <v>4605074689,0</v>
          </cell>
          <cell r="H71" t="str">
            <v>10999873621,0</v>
          </cell>
          <cell r="I71" t="str">
            <v>1,06</v>
          </cell>
          <cell r="J71" t="str">
            <v>-17,55</v>
          </cell>
          <cell r="K71" t="str">
            <v>-21,97</v>
          </cell>
          <cell r="L71" t="str">
            <v>1521104651</v>
          </cell>
          <cell r="M71" t="str">
            <v>0,0295656651</v>
          </cell>
          <cell r="N71" t="str">
            <v>1330337,0098</v>
          </cell>
          <cell r="O71" t="str">
            <v>136152096,0</v>
          </cell>
          <cell r="P71" t="str">
            <v>funfair</v>
          </cell>
        </row>
        <row r="72">
          <cell r="A72" t="str">
            <v>XZC</v>
          </cell>
          <cell r="B72" t="str">
            <v>71</v>
          </cell>
          <cell r="C72" t="str">
            <v>38,3283</v>
          </cell>
          <cell r="D72" t="str">
            <v>0,00468235</v>
          </cell>
          <cell r="E72" t="str">
            <v>2384540,0</v>
          </cell>
          <cell r="F72" t="str">
            <v>165136616,0</v>
          </cell>
          <cell r="G72" t="str">
            <v>4308477,0</v>
          </cell>
          <cell r="H72" t="str">
            <v>4308477,0</v>
          </cell>
          <cell r="I72" t="str">
            <v>11,85</v>
          </cell>
          <cell r="J72" t="str">
            <v>-6,52</v>
          </cell>
          <cell r="K72" t="str">
            <v>-14,26</v>
          </cell>
          <cell r="L72" t="str">
            <v>1521104648</v>
          </cell>
          <cell r="M72" t="str">
            <v>30,9560431365</v>
          </cell>
          <cell r="N72" t="str">
            <v>1925885,6537</v>
          </cell>
          <cell r="O72" t="str">
            <v>133373413,0</v>
          </cell>
          <cell r="P72" t="str">
            <v>zcoin</v>
          </cell>
        </row>
        <row r="73">
          <cell r="A73" t="str">
            <v>KIN</v>
          </cell>
          <cell r="B73" t="str">
            <v>72</v>
          </cell>
          <cell r="C73" t="str">
            <v>0,000216107</v>
          </cell>
          <cell r="D73" t="str">
            <v>0,00000003</v>
          </cell>
          <cell r="E73" t="str">
            <v>357123,0</v>
          </cell>
          <cell r="F73" t="str">
            <v>163397976,0</v>
          </cell>
          <cell r="G73" t="str">
            <v>756097560976</v>
          </cell>
          <cell r="H73" t="str">
            <v>10000000000000</v>
          </cell>
          <cell r="I73" t="str">
            <v>4,28</v>
          </cell>
          <cell r="J73" t="str">
            <v>-9,05</v>
          </cell>
          <cell r="K73" t="str">
            <v>-13,46</v>
          </cell>
          <cell r="L73" t="str">
            <v>1521104654</v>
          </cell>
          <cell r="M73" t="str">
            <v>0,0001745399</v>
          </cell>
          <cell r="N73" t="str">
            <v>288432,176565</v>
          </cell>
          <cell r="O73" t="str">
            <v>131969192,0</v>
          </cell>
          <cell r="P73" t="str">
            <v>kin</v>
          </cell>
        </row>
        <row r="74">
          <cell r="A74" t="str">
            <v>RDD</v>
          </cell>
          <cell r="B74" t="str">
            <v>73</v>
          </cell>
          <cell r="C74" t="str">
            <v>0,00548529</v>
          </cell>
          <cell r="D74" t="str">
            <v>0,00000067</v>
          </cell>
          <cell r="E74" t="str">
            <v>6267920,0</v>
          </cell>
          <cell r="F74" t="str">
            <v>157834567,0</v>
          </cell>
          <cell r="G74" t="str">
            <v>28774151777,0</v>
          </cell>
          <cell r="H74" t="str">
            <v>28774151777,0</v>
          </cell>
          <cell r="I74" t="str">
            <v>4,51</v>
          </cell>
          <cell r="J74" t="str">
            <v>-15,99</v>
          </cell>
          <cell r="K74" t="str">
            <v>-19,02</v>
          </cell>
          <cell r="L74" t="str">
            <v>1521104642</v>
          </cell>
          <cell r="M74" t="str">
            <v>0,0044302219</v>
          </cell>
          <cell r="N74" t="str">
            <v>5062316,9276</v>
          </cell>
          <cell r="O74" t="str">
            <v>127475877,0</v>
          </cell>
          <cell r="P74" t="str">
            <v>reddcoin</v>
          </cell>
        </row>
        <row r="75">
          <cell r="A75" t="str">
            <v>DCN</v>
          </cell>
          <cell r="B75" t="str">
            <v>74</v>
          </cell>
          <cell r="C75" t="str">
            <v>0,000472814</v>
          </cell>
          <cell r="D75" t="str">
            <v>0,00000006</v>
          </cell>
          <cell r="E75" t="str">
            <v>72170,5</v>
          </cell>
          <cell r="F75" t="str">
            <v>153771696,0</v>
          </cell>
          <cell r="G75" t="str">
            <v>325226613094</v>
          </cell>
          <cell r="H75" t="str">
            <v>1963173416169</v>
          </cell>
          <cell r="I75" t="str">
            <v>4,69</v>
          </cell>
          <cell r="J75" t="str">
            <v>-7,65</v>
          </cell>
          <cell r="K75" t="str">
            <v>-7,88</v>
          </cell>
          <cell r="L75" t="str">
            <v>1521104652</v>
          </cell>
          <cell r="M75" t="str">
            <v>0,0003818706</v>
          </cell>
          <cell r="N75" t="str">
            <v>58288,8651775</v>
          </cell>
          <cell r="O75" t="str">
            <v>124194479,0</v>
          </cell>
          <cell r="P75" t="str">
            <v>dentacoin</v>
          </cell>
        </row>
        <row r="76">
          <cell r="A76" t="str">
            <v>SALT</v>
          </cell>
          <cell r="B76" t="str">
            <v>75</v>
          </cell>
          <cell r="C76" t="str">
            <v>2,70365</v>
          </cell>
          <cell r="D76" t="str">
            <v>0,00033029</v>
          </cell>
          <cell r="E76" t="str">
            <v>5041880,0</v>
          </cell>
          <cell r="F76" t="str">
            <v>150747751,0</v>
          </cell>
          <cell r="G76" t="str">
            <v>55757125,0</v>
          </cell>
          <cell r="H76" t="str">
            <v>120000000,0</v>
          </cell>
          <cell r="I76" t="str">
            <v>3,37</v>
          </cell>
          <cell r="J76" t="str">
            <v>-14,92</v>
          </cell>
          <cell r="K76" t="str">
            <v>-17,85</v>
          </cell>
          <cell r="L76" t="str">
            <v>1521104654</v>
          </cell>
          <cell r="M76" t="str">
            <v>2,1836164408</v>
          </cell>
          <cell r="N76" t="str">
            <v>4072099,5914</v>
          </cell>
          <cell r="O76" t="str">
            <v>121752175,0</v>
          </cell>
          <cell r="P76" t="str">
            <v>salt</v>
          </cell>
        </row>
        <row r="77">
          <cell r="A77" t="str">
            <v>ELF</v>
          </cell>
          <cell r="B77" t="str">
            <v>76</v>
          </cell>
          <cell r="C77" t="str">
            <v>0,602254</v>
          </cell>
          <cell r="D77" t="str">
            <v>0,00007357</v>
          </cell>
          <cell r="E77" t="str">
            <v>22437100,0</v>
          </cell>
          <cell r="F77" t="str">
            <v>150563500,0</v>
          </cell>
          <cell r="G77" t="str">
            <v>250000000,0</v>
          </cell>
          <cell r="H77" t="str">
            <v>280000000,0</v>
          </cell>
          <cell r="I77" t="str">
            <v>4,31</v>
          </cell>
          <cell r="J77" t="str">
            <v>-15,0</v>
          </cell>
          <cell r="K77" t="str">
            <v>-30,67</v>
          </cell>
          <cell r="L77" t="str">
            <v>1521104658</v>
          </cell>
          <cell r="M77" t="str">
            <v>0,4864134544</v>
          </cell>
          <cell r="N77" t="str">
            <v>18121436,0005</v>
          </cell>
          <cell r="O77" t="str">
            <v>121603364,0</v>
          </cell>
          <cell r="P77" t="str">
            <v>aelf</v>
          </cell>
        </row>
        <row r="78">
          <cell r="A78" t="str">
            <v>IOST</v>
          </cell>
          <cell r="B78" t="str">
            <v>77</v>
          </cell>
          <cell r="C78" t="str">
            <v>0,0178219</v>
          </cell>
          <cell r="D78" t="str">
            <v>0,00000218</v>
          </cell>
          <cell r="E78" t="str">
            <v>27203500,0</v>
          </cell>
          <cell r="F78" t="str">
            <v>149703960,0</v>
          </cell>
          <cell r="G78" t="str">
            <v>8400000000,0</v>
          </cell>
          <cell r="H78" t="str">
            <v>21000000000,0</v>
          </cell>
          <cell r="I78" t="str">
            <v>3,73</v>
          </cell>
          <cell r="J78" t="str">
            <v>-13,21</v>
          </cell>
          <cell r="K78" t="str">
            <v>-22,53</v>
          </cell>
          <cell r="L78" t="str">
            <v>1521104659</v>
          </cell>
          <cell r="M78" t="str">
            <v>0,0143939466</v>
          </cell>
          <cell r="N78" t="str">
            <v>21971042,7925</v>
          </cell>
          <cell r="O78" t="str">
            <v>120909152,0</v>
          </cell>
          <cell r="P78" t="str">
            <v>iostoken</v>
          </cell>
        </row>
        <row r="79">
          <cell r="A79" t="str">
            <v>LINK</v>
          </cell>
          <cell r="B79" t="str">
            <v>78</v>
          </cell>
          <cell r="C79" t="str">
            <v>0,426565</v>
          </cell>
          <cell r="D79" t="str">
            <v>0,00005211</v>
          </cell>
          <cell r="E79" t="str">
            <v>5269280,0</v>
          </cell>
          <cell r="F79" t="str">
            <v>149297750,0</v>
          </cell>
          <cell r="G79" t="str">
            <v>350000000,0</v>
          </cell>
          <cell r="H79" t="str">
            <v>1000000000,0</v>
          </cell>
          <cell r="I79" t="str">
            <v>4,09</v>
          </cell>
          <cell r="J79" t="str">
            <v>-21,21</v>
          </cell>
          <cell r="K79" t="str">
            <v>-15,48</v>
          </cell>
          <cell r="L79" t="str">
            <v>1521104654</v>
          </cell>
          <cell r="M79" t="str">
            <v>0,3445173551</v>
          </cell>
          <cell r="N79" t="str">
            <v>4255760,3384</v>
          </cell>
          <cell r="O79" t="str">
            <v>120581074,0</v>
          </cell>
          <cell r="P79" t="str">
            <v>chainlink</v>
          </cell>
        </row>
        <row r="80">
          <cell r="A80" t="str">
            <v>SMART</v>
          </cell>
          <cell r="B80" t="str">
            <v>79</v>
          </cell>
          <cell r="C80" t="str">
            <v>0,18176</v>
          </cell>
          <cell r="D80" t="str">
            <v>0,00002220</v>
          </cell>
          <cell r="E80" t="str">
            <v>119274,0</v>
          </cell>
          <cell r="F80" t="str">
            <v>144324061,0</v>
          </cell>
          <cell r="G80" t="str">
            <v>794036428,0</v>
          </cell>
          <cell r="H80" t="str">
            <v>1395080707,0</v>
          </cell>
          <cell r="I80" t="str">
            <v>3,12</v>
          </cell>
          <cell r="J80" t="str">
            <v>-7,15</v>
          </cell>
          <cell r="K80" t="str">
            <v>-2,16</v>
          </cell>
          <cell r="L80" t="str">
            <v>1521104652</v>
          </cell>
          <cell r="M80" t="str">
            <v>0,1467993728</v>
          </cell>
          <cell r="N80" t="str">
            <v>96332,24247</v>
          </cell>
          <cell r="O80" t="str">
            <v>116564050,0</v>
          </cell>
          <cell r="P80" t="str">
            <v>smartcash</v>
          </cell>
        </row>
        <row r="81">
          <cell r="A81" t="str">
            <v>KNC</v>
          </cell>
          <cell r="B81" t="str">
            <v>80</v>
          </cell>
          <cell r="C81" t="str">
            <v>1,0667</v>
          </cell>
          <cell r="D81" t="str">
            <v>0,00013031</v>
          </cell>
          <cell r="E81" t="str">
            <v>5559310,0</v>
          </cell>
          <cell r="F81" t="str">
            <v>143079348,0</v>
          </cell>
          <cell r="G81" t="str">
            <v>134132697,0</v>
          </cell>
          <cell r="H81" t="str">
            <v>215625349,0</v>
          </cell>
          <cell r="I81" t="str">
            <v>2,53</v>
          </cell>
          <cell r="J81" t="str">
            <v>-18,28</v>
          </cell>
          <cell r="K81" t="str">
            <v>-28,37</v>
          </cell>
          <cell r="L81" t="str">
            <v>1521104654</v>
          </cell>
          <cell r="M81" t="str">
            <v>0,8615255885</v>
          </cell>
          <cell r="N81" t="str">
            <v>4490004,51805</v>
          </cell>
          <cell r="O81" t="str">
            <v>115558751,0</v>
          </cell>
          <cell r="P81" t="str">
            <v>kyber-network</v>
          </cell>
        </row>
        <row r="82">
          <cell r="A82" t="str">
            <v>POWR</v>
          </cell>
          <cell r="B82" t="str">
            <v>81</v>
          </cell>
          <cell r="C82" t="str">
            <v>0,391062</v>
          </cell>
          <cell r="D82" t="str">
            <v>0,00004777</v>
          </cell>
          <cell r="E82" t="str">
            <v>18117700,0</v>
          </cell>
          <cell r="F82" t="str">
            <v>142320346,0</v>
          </cell>
          <cell r="G82" t="str">
            <v>363932947,0</v>
          </cell>
          <cell r="H82" t="str">
            <v>1000000000,0</v>
          </cell>
          <cell r="I82" t="str">
            <v>5,17</v>
          </cell>
          <cell r="J82" t="str">
            <v>-21,03</v>
          </cell>
          <cell r="K82" t="str">
            <v>-13,61</v>
          </cell>
          <cell r="L82" t="str">
            <v>1521104656</v>
          </cell>
          <cell r="M82" t="str">
            <v>0,3158431796</v>
          </cell>
          <cell r="N82" t="str">
            <v>14632850,9935</v>
          </cell>
          <cell r="O82" t="str">
            <v>114945739,0</v>
          </cell>
          <cell r="P82" t="str">
            <v>power-ledger</v>
          </cell>
        </row>
        <row r="83">
          <cell r="A83" t="str">
            <v>POLY</v>
          </cell>
          <cell r="B83" t="str">
            <v>82</v>
          </cell>
          <cell r="C83" t="str">
            <v>0,579172</v>
          </cell>
          <cell r="D83" t="str">
            <v>0,00007075</v>
          </cell>
          <cell r="E83" t="str">
            <v>1866740,0</v>
          </cell>
          <cell r="F83" t="str">
            <v>139001135,0</v>
          </cell>
          <cell r="G83" t="str">
            <v>239999750,0</v>
          </cell>
          <cell r="H83" t="str">
            <v>1000000000,0</v>
          </cell>
          <cell r="I83" t="str">
            <v>3,43</v>
          </cell>
          <cell r="J83" t="str">
            <v>-14,92</v>
          </cell>
          <cell r="K83" t="str">
            <v>-13,3</v>
          </cell>
          <cell r="L83" t="str">
            <v>1521104660</v>
          </cell>
          <cell r="M83" t="str">
            <v>0,4677711617</v>
          </cell>
          <cell r="N83" t="str">
            <v>1507681,8947</v>
          </cell>
          <cell r="O83" t="str">
            <v>112264962,0</v>
          </cell>
          <cell r="P83" t="str">
            <v>polymath-network</v>
          </cell>
        </row>
        <row r="84">
          <cell r="A84" t="str">
            <v>NXT</v>
          </cell>
          <cell r="B84" t="str">
            <v>83</v>
          </cell>
          <cell r="C84" t="str">
            <v>0,136276</v>
          </cell>
          <cell r="D84" t="str">
            <v>0,00001665</v>
          </cell>
          <cell r="E84" t="str">
            <v>4066240,0</v>
          </cell>
          <cell r="F84" t="str">
            <v>136139716,0</v>
          </cell>
          <cell r="G84" t="str">
            <v>998999942,0</v>
          </cell>
          <cell r="H84" t="str">
            <v>998999942,0</v>
          </cell>
          <cell r="I84" t="str">
            <v>4,82</v>
          </cell>
          <cell r="J84" t="str">
            <v>-15,79</v>
          </cell>
          <cell r="K84" t="str">
            <v>-24,44</v>
          </cell>
          <cell r="L84" t="str">
            <v>1521104641</v>
          </cell>
          <cell r="M84" t="str">
            <v>0,1100639928</v>
          </cell>
          <cell r="N84" t="str">
            <v>3284119,0672</v>
          </cell>
          <cell r="O84" t="str">
            <v>109953922,0</v>
          </cell>
          <cell r="P84" t="str">
            <v>nxt</v>
          </cell>
        </row>
        <row r="85">
          <cell r="A85" t="str">
            <v>BNT</v>
          </cell>
          <cell r="B85" t="str">
            <v>84</v>
          </cell>
          <cell r="C85" t="str">
            <v>3,3061</v>
          </cell>
          <cell r="D85" t="str">
            <v>0,00040389</v>
          </cell>
          <cell r="E85" t="str">
            <v>4184900,0</v>
          </cell>
          <cell r="F85" t="str">
            <v>132682956,0</v>
          </cell>
          <cell r="G85" t="str">
            <v>40132772,0</v>
          </cell>
          <cell r="H85" t="str">
            <v>74001369,0</v>
          </cell>
          <cell r="I85" t="str">
            <v>3,47</v>
          </cell>
          <cell r="J85" t="str">
            <v>-11,34</v>
          </cell>
          <cell r="K85" t="str">
            <v>-21,67</v>
          </cell>
          <cell r="L85" t="str">
            <v>1521104651</v>
          </cell>
          <cell r="M85" t="str">
            <v>2,6701881955</v>
          </cell>
          <cell r="N85" t="str">
            <v>3379955,4095</v>
          </cell>
          <cell r="O85" t="str">
            <v>107162053,0</v>
          </cell>
          <cell r="P85" t="str">
            <v>bancor</v>
          </cell>
        </row>
        <row r="86">
          <cell r="A86" t="str">
            <v>GBYTE</v>
          </cell>
          <cell r="B86" t="str">
            <v>85</v>
          </cell>
          <cell r="C86" t="str">
            <v>204,67</v>
          </cell>
          <cell r="D86" t="str">
            <v>0,0250034</v>
          </cell>
          <cell r="E86" t="str">
            <v>627577,0</v>
          </cell>
          <cell r="F86" t="str">
            <v>132057598,0</v>
          </cell>
          <cell r="G86" t="str">
            <v>645222,0</v>
          </cell>
          <cell r="H86" t="str">
            <v>1000000,0</v>
          </cell>
          <cell r="I86" t="str">
            <v>5,54</v>
          </cell>
          <cell r="J86" t="str">
            <v>-15,27</v>
          </cell>
          <cell r="K86" t="str">
            <v>-40,7</v>
          </cell>
          <cell r="L86" t="str">
            <v>1521104649</v>
          </cell>
          <cell r="M86" t="str">
            <v>165,30274885</v>
          </cell>
          <cell r="N86" t="str">
            <v>506865,701935</v>
          </cell>
          <cell r="O86" t="str">
            <v>106656979,0</v>
          </cell>
          <cell r="P86" t="str">
            <v>byteball</v>
          </cell>
        </row>
        <row r="87">
          <cell r="A87" t="str">
            <v>EMC</v>
          </cell>
          <cell r="B87" t="str">
            <v>86</v>
          </cell>
          <cell r="C87" t="str">
            <v>3,11494</v>
          </cell>
          <cell r="D87" t="str">
            <v>0,00038053</v>
          </cell>
          <cell r="E87" t="str">
            <v>878471,0</v>
          </cell>
          <cell r="F87" t="str">
            <v>129210316,0</v>
          </cell>
          <cell r="G87" t="str">
            <v>41480836,0</v>
          </cell>
          <cell r="H87" t="str">
            <v>41480836,0</v>
          </cell>
          <cell r="I87" t="str">
            <v>3,31</v>
          </cell>
          <cell r="J87" t="str">
            <v>-11,38</v>
          </cell>
          <cell r="K87" t="str">
            <v>-14,25</v>
          </cell>
          <cell r="L87" t="str">
            <v>1521104643</v>
          </cell>
          <cell r="M87" t="str">
            <v>2,5157968657</v>
          </cell>
          <cell r="N87" t="str">
            <v>709501,495505</v>
          </cell>
          <cell r="O87" t="str">
            <v>104357358,0</v>
          </cell>
          <cell r="P87" t="str">
            <v>emercoin</v>
          </cell>
        </row>
        <row r="88">
          <cell r="A88" t="str">
            <v>MAID</v>
          </cell>
          <cell r="B88" t="str">
            <v>87</v>
          </cell>
          <cell r="C88" t="str">
            <v>0,281246</v>
          </cell>
          <cell r="D88" t="str">
            <v>0,00003436</v>
          </cell>
          <cell r="E88" t="str">
            <v>1121650,0</v>
          </cell>
          <cell r="F88" t="str">
            <v>127278556,0</v>
          </cell>
          <cell r="G88" t="str">
            <v>452552412,0</v>
          </cell>
          <cell r="H88" t="str">
            <v>452552412,0</v>
          </cell>
          <cell r="I88" t="str">
            <v>4,45</v>
          </cell>
          <cell r="J88" t="str">
            <v>-13,07</v>
          </cell>
          <cell r="K88" t="str">
            <v>-16,04</v>
          </cell>
          <cell r="L88" t="str">
            <v>1521104643</v>
          </cell>
          <cell r="M88" t="str">
            <v>0,2271497381</v>
          </cell>
          <cell r="N88" t="str">
            <v>905906,23075</v>
          </cell>
          <cell r="O88" t="str">
            <v>102797162,0</v>
          </cell>
          <cell r="P88" t="str">
            <v>maidsafecoin</v>
          </cell>
        </row>
        <row r="89">
          <cell r="A89" t="str">
            <v>NEBL</v>
          </cell>
          <cell r="B89" t="str">
            <v>88</v>
          </cell>
          <cell r="C89" t="str">
            <v>9,52029</v>
          </cell>
          <cell r="D89" t="str">
            <v>0,00116304</v>
          </cell>
          <cell r="E89" t="str">
            <v>3247430,0</v>
          </cell>
          <cell r="F89" t="str">
            <v>122868016,0</v>
          </cell>
          <cell r="G89" t="str">
            <v>12905911,0</v>
          </cell>
          <cell r="H89" t="str">
            <v>13658194,0</v>
          </cell>
          <cell r="I89" t="str">
            <v>3,46</v>
          </cell>
          <cell r="J89" t="str">
            <v>-15,65</v>
          </cell>
          <cell r="K89" t="str">
            <v>-25,72</v>
          </cell>
          <cell r="L89" t="str">
            <v>1521104653</v>
          </cell>
          <cell r="M89" t="str">
            <v>7,6891098199</v>
          </cell>
          <cell r="N89" t="str">
            <v>2622803,07665</v>
          </cell>
          <cell r="O89" t="str">
            <v>99234967,0</v>
          </cell>
          <cell r="P89" t="str">
            <v>neblio</v>
          </cell>
        </row>
        <row r="90">
          <cell r="A90" t="str">
            <v>PAY</v>
          </cell>
          <cell r="B90" t="str">
            <v>89</v>
          </cell>
          <cell r="C90" t="str">
            <v>1,16504</v>
          </cell>
          <cell r="D90" t="str">
            <v>0,00014233</v>
          </cell>
          <cell r="E90" t="str">
            <v>5382010,0</v>
          </cell>
          <cell r="F90" t="str">
            <v>121934613,0</v>
          </cell>
          <cell r="G90" t="str">
            <v>104661310,0</v>
          </cell>
          <cell r="H90" t="str">
            <v>205218256,0</v>
          </cell>
          <cell r="I90" t="str">
            <v>4,38</v>
          </cell>
          <cell r="J90" t="str">
            <v>-13,23</v>
          </cell>
          <cell r="K90" t="str">
            <v>-20,75</v>
          </cell>
          <cell r="L90" t="str">
            <v>1521104651</v>
          </cell>
          <cell r="M90" t="str">
            <v>0,9409503812</v>
          </cell>
          <cell r="N90" t="str">
            <v>4346807,28655</v>
          </cell>
          <cell r="O90" t="str">
            <v>98481100,0</v>
          </cell>
          <cell r="P90" t="str">
            <v>tenx</v>
          </cell>
        </row>
        <row r="91">
          <cell r="A91" t="str">
            <v>PART</v>
          </cell>
          <cell r="B91" t="str">
            <v>90</v>
          </cell>
          <cell r="C91" t="str">
            <v>13,4428</v>
          </cell>
          <cell r="D91" t="str">
            <v>0,00164223</v>
          </cell>
          <cell r="E91" t="str">
            <v>628176,0</v>
          </cell>
          <cell r="F91" t="str">
            <v>119629234,0</v>
          </cell>
          <cell r="G91" t="str">
            <v>8899131,0</v>
          </cell>
          <cell r="H91" t="str">
            <v>8899131,0</v>
          </cell>
          <cell r="I91" t="str">
            <v>3,65</v>
          </cell>
          <cell r="J91" t="str">
            <v>-22,9</v>
          </cell>
          <cell r="K91" t="str">
            <v>-46,48</v>
          </cell>
          <cell r="L91" t="str">
            <v>1521104652</v>
          </cell>
          <cell r="M91" t="str">
            <v>10,857144634</v>
          </cell>
          <cell r="N91" t="str">
            <v>507349,48728</v>
          </cell>
          <cell r="O91" t="str">
            <v>96619149,0</v>
          </cell>
          <cell r="P91" t="str">
            <v>particl</v>
          </cell>
        </row>
        <row r="92">
          <cell r="A92" t="str">
            <v>SRN</v>
          </cell>
          <cell r="B92" t="str">
            <v>91</v>
          </cell>
          <cell r="C92" t="str">
            <v>0,498933</v>
          </cell>
          <cell r="D92" t="str">
            <v>0,00006095</v>
          </cell>
          <cell r="E92" t="str">
            <v>7931430,0</v>
          </cell>
          <cell r="F92" t="str">
            <v>114384396,0</v>
          </cell>
          <cell r="G92" t="str">
            <v>229258029,0</v>
          </cell>
          <cell r="H92" t="str">
            <v>573145073,0</v>
          </cell>
          <cell r="I92" t="str">
            <v>3,37</v>
          </cell>
          <cell r="J92" t="str">
            <v>-14,15</v>
          </cell>
          <cell r="K92" t="str">
            <v>-25,77</v>
          </cell>
          <cell r="L92" t="str">
            <v>1521104658</v>
          </cell>
          <cell r="M92" t="str">
            <v>0,4029657321</v>
          </cell>
          <cell r="N92" t="str">
            <v>6405859,09665</v>
          </cell>
          <cell r="O92" t="str">
            <v>92383129,0</v>
          </cell>
          <cell r="P92" t="str">
            <v>sirin-labs-token</v>
          </cell>
        </row>
        <row r="93">
          <cell r="A93" t="str">
            <v>REQ</v>
          </cell>
          <cell r="B93" t="str">
            <v>92</v>
          </cell>
          <cell r="C93" t="str">
            <v>0,172539</v>
          </cell>
          <cell r="D93" t="str">
            <v>0,00002108</v>
          </cell>
          <cell r="E93" t="str">
            <v>4469340,0</v>
          </cell>
          <cell r="F93" t="str">
            <v>114342802,0</v>
          </cell>
          <cell r="G93" t="str">
            <v>662706996,0</v>
          </cell>
          <cell r="H93" t="str">
            <v>999999999,0</v>
          </cell>
          <cell r="I93" t="str">
            <v>2,78</v>
          </cell>
          <cell r="J93" t="str">
            <v>-17,92</v>
          </cell>
          <cell r="K93" t="str">
            <v>-24,94</v>
          </cell>
          <cell r="L93" t="str">
            <v>1521104655</v>
          </cell>
          <cell r="M93" t="str">
            <v>0,139351986</v>
          </cell>
          <cell r="N93" t="str">
            <v>3609684,7977</v>
          </cell>
          <cell r="O93" t="str">
            <v>92349536,0</v>
          </cell>
          <cell r="P93" t="str">
            <v>request-network</v>
          </cell>
        </row>
        <row r="94">
          <cell r="A94" t="str">
            <v>DENT</v>
          </cell>
          <cell r="B94" t="str">
            <v>93</v>
          </cell>
          <cell r="C94" t="str">
            <v>0,0105851</v>
          </cell>
          <cell r="D94" t="str">
            <v>0,00000129</v>
          </cell>
          <cell r="E94" t="str">
            <v>1969680,0</v>
          </cell>
          <cell r="F94" t="str">
            <v>112358306,0</v>
          </cell>
          <cell r="G94" t="str">
            <v>10614760961,0</v>
          </cell>
          <cell r="H94" t="str">
            <v>100000000000</v>
          </cell>
          <cell r="I94" t="str">
            <v>10,3</v>
          </cell>
          <cell r="J94" t="str">
            <v>-23,67</v>
          </cell>
          <cell r="K94" t="str">
            <v>-33,39</v>
          </cell>
          <cell r="L94" t="str">
            <v>1521104652</v>
          </cell>
          <cell r="M94" t="str">
            <v>0,0085491089</v>
          </cell>
          <cell r="N94" t="str">
            <v>1590821,9004</v>
          </cell>
          <cell r="O94" t="str">
            <v>90746748,0</v>
          </cell>
          <cell r="P94" t="str">
            <v>dent</v>
          </cell>
        </row>
        <row r="95">
          <cell r="A95" t="str">
            <v>ICN</v>
          </cell>
          <cell r="B95" t="str">
            <v>94</v>
          </cell>
          <cell r="C95" t="str">
            <v>1,0981</v>
          </cell>
          <cell r="D95" t="str">
            <v>0,00013415</v>
          </cell>
          <cell r="E95" t="str">
            <v>1580340,0</v>
          </cell>
          <cell r="F95" t="str">
            <v>109519758,0</v>
          </cell>
          <cell r="G95" t="str">
            <v>99735687,0</v>
          </cell>
          <cell r="H95" t="str">
            <v>99735687,0</v>
          </cell>
          <cell r="I95" t="str">
            <v>5,53</v>
          </cell>
          <cell r="J95" t="str">
            <v>-18,9</v>
          </cell>
          <cell r="K95" t="str">
            <v>-34,47</v>
          </cell>
          <cell r="L95" t="str">
            <v>1521104648</v>
          </cell>
          <cell r="M95" t="str">
            <v>0,8868859555</v>
          </cell>
          <cell r="N95" t="str">
            <v>1276369,5027</v>
          </cell>
          <cell r="O95" t="str">
            <v>88454180,0</v>
          </cell>
          <cell r="P95" t="str">
            <v>iconomi</v>
          </cell>
        </row>
        <row r="96">
          <cell r="A96" t="str">
            <v>ENG</v>
          </cell>
          <cell r="B96" t="str">
            <v>95</v>
          </cell>
          <cell r="C96" t="str">
            <v>1,44995</v>
          </cell>
          <cell r="D96" t="str">
            <v>0,00017713</v>
          </cell>
          <cell r="E96" t="str">
            <v>6510550,0</v>
          </cell>
          <cell r="F96" t="str">
            <v>108508706,0</v>
          </cell>
          <cell r="G96" t="str">
            <v>74836171,0</v>
          </cell>
          <cell r="H96" t="str">
            <v>150000000,0</v>
          </cell>
          <cell r="I96" t="str">
            <v>5,16</v>
          </cell>
          <cell r="J96" t="str">
            <v>-20,1</v>
          </cell>
          <cell r="K96" t="str">
            <v>-26,67</v>
          </cell>
          <cell r="L96" t="str">
            <v>1521104655</v>
          </cell>
          <cell r="M96" t="str">
            <v>1,1710593673</v>
          </cell>
          <cell r="N96" t="str">
            <v>5258278,26025</v>
          </cell>
          <cell r="O96" t="str">
            <v>87637599,0</v>
          </cell>
          <cell r="P96" t="str">
            <v>enigma-project</v>
          </cell>
        </row>
        <row r="97">
          <cell r="A97" t="str">
            <v>PLR</v>
          </cell>
          <cell r="B97" t="str">
            <v>96</v>
          </cell>
          <cell r="C97" t="str">
            <v>0,471481</v>
          </cell>
          <cell r="D97" t="str">
            <v>0,00005760</v>
          </cell>
          <cell r="E97" t="str">
            <v>94729,8</v>
          </cell>
          <cell r="F97" t="str">
            <v>107207613,0</v>
          </cell>
          <cell r="G97" t="str">
            <v>227384800,0</v>
          </cell>
          <cell r="H97" t="str">
            <v>800000000,0</v>
          </cell>
          <cell r="I97" t="str">
            <v>5,63</v>
          </cell>
          <cell r="J97" t="str">
            <v>-12,2</v>
          </cell>
          <cell r="K97" t="str">
            <v>-21,52</v>
          </cell>
          <cell r="L97" t="str">
            <v>1521104652</v>
          </cell>
          <cell r="M97" t="str">
            <v>0,3807939871</v>
          </cell>
          <cell r="N97" t="str">
            <v>76508,996619</v>
          </cell>
          <cell r="O97" t="str">
            <v>86586765,0</v>
          </cell>
          <cell r="P97" t="str">
            <v>pillar</v>
          </cell>
        </row>
        <row r="98">
          <cell r="A98" t="str">
            <v>BTX</v>
          </cell>
          <cell r="B98" t="str">
            <v>97</v>
          </cell>
          <cell r="C98" t="str">
            <v>8,66198</v>
          </cell>
          <cell r="D98" t="str">
            <v>0,00105819</v>
          </cell>
          <cell r="E98" t="str">
            <v>1621730,0</v>
          </cell>
          <cell r="F98" t="str">
            <v>106786870,0</v>
          </cell>
          <cell r="G98" t="str">
            <v>12328229,0</v>
          </cell>
          <cell r="H98" t="str">
            <v>16854741,0</v>
          </cell>
          <cell r="I98" t="str">
            <v>4,15</v>
          </cell>
          <cell r="J98" t="str">
            <v>-15,26</v>
          </cell>
          <cell r="K98" t="str">
            <v>-15,7</v>
          </cell>
          <cell r="L98" t="str">
            <v>1521104650</v>
          </cell>
          <cell r="M98" t="str">
            <v>6,9958914569</v>
          </cell>
          <cell r="N98" t="str">
            <v>1309798,34315</v>
          </cell>
          <cell r="O98" t="str">
            <v>86246950,0</v>
          </cell>
          <cell r="P98" t="str">
            <v>bitcore</v>
          </cell>
        </row>
        <row r="99">
          <cell r="A99" t="str">
            <v>AGI</v>
          </cell>
          <cell r="B99" t="str">
            <v>98</v>
          </cell>
          <cell r="C99" t="str">
            <v>0,203696</v>
          </cell>
          <cell r="D99" t="str">
            <v>0,00002488</v>
          </cell>
          <cell r="E99" t="str">
            <v>921997,0</v>
          </cell>
          <cell r="F99" t="str">
            <v>106270248,0</v>
          </cell>
          <cell r="G99" t="str">
            <v>521710040,0</v>
          </cell>
          <cell r="H99" t="str">
            <v>1000000000,0</v>
          </cell>
          <cell r="I99" t="str">
            <v>2,97</v>
          </cell>
          <cell r="J99" t="str">
            <v>-18,2</v>
          </cell>
          <cell r="K99" t="str">
            <v>-30,9</v>
          </cell>
          <cell r="L99" t="str">
            <v>1521104659</v>
          </cell>
          <cell r="M99" t="str">
            <v>0,1645160929</v>
          </cell>
          <cell r="N99" t="str">
            <v>744655,487035</v>
          </cell>
          <cell r="O99" t="str">
            <v>85829697,0</v>
          </cell>
          <cell r="P99" t="str">
            <v>singularitynet</v>
          </cell>
        </row>
        <row r="100">
          <cell r="A100" t="str">
            <v>STORJ</v>
          </cell>
          <cell r="B100" t="str">
            <v>99</v>
          </cell>
          <cell r="C100" t="str">
            <v>0,782192</v>
          </cell>
          <cell r="D100" t="str">
            <v>0,00009556</v>
          </cell>
          <cell r="E100" t="str">
            <v>7831620,0</v>
          </cell>
          <cell r="F100" t="str">
            <v>104364353,0</v>
          </cell>
          <cell r="G100" t="str">
            <v>133425493,0</v>
          </cell>
          <cell r="H100" t="str">
            <v>424999998,0</v>
          </cell>
          <cell r="I100" t="str">
            <v>4,71</v>
          </cell>
          <cell r="J100" t="str">
            <v>-20,28</v>
          </cell>
          <cell r="K100" t="str">
            <v>-22,57</v>
          </cell>
          <cell r="L100" t="str">
            <v>1521104651</v>
          </cell>
          <cell r="M100" t="str">
            <v>0,6317412798</v>
          </cell>
          <cell r="N100" t="str">
            <v>6325247,0511</v>
          </cell>
          <cell r="O100" t="str">
            <v>84290391,0</v>
          </cell>
          <cell r="P100" t="str">
            <v>storj</v>
          </cell>
        </row>
        <row r="101">
          <cell r="A101" t="str">
            <v>NXS</v>
          </cell>
          <cell r="B101" t="str">
            <v>100</v>
          </cell>
          <cell r="C101" t="str">
            <v>1,8448</v>
          </cell>
          <cell r="D101" t="str">
            <v>0,00022537</v>
          </cell>
          <cell r="E101" t="str">
            <v>4155470,0</v>
          </cell>
          <cell r="F101" t="str">
            <v>103586862,0</v>
          </cell>
          <cell r="G101" t="str">
            <v>56150728,0</v>
          </cell>
          <cell r="H101" t="str">
            <v>56150728,0</v>
          </cell>
          <cell r="I101" t="str">
            <v>3,1</v>
          </cell>
          <cell r="J101" t="str">
            <v>-18,42</v>
          </cell>
          <cell r="K101" t="str">
            <v>-45,56</v>
          </cell>
          <cell r="L101" t="str">
            <v>1521104644</v>
          </cell>
          <cell r="M101" t="str">
            <v>1,489961944</v>
          </cell>
          <cell r="N101" t="str">
            <v>3356186,12285</v>
          </cell>
          <cell r="O101" t="str">
            <v>83662447,0</v>
          </cell>
          <cell r="P101" t="str">
            <v>nexus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Q47"/>
  <sheetViews>
    <sheetView tabSelected="1" zoomScale="118" zoomScaleNormal="118" workbookViewId="0">
      <selection activeCell="Q1" sqref="Q1"/>
    </sheetView>
  </sheetViews>
  <sheetFormatPr defaultRowHeight="12.75"/>
  <cols>
    <col min="1" max="1" width="24.140625" customWidth="1"/>
    <col min="2" max="2" width="21.7109375" customWidth="1"/>
    <col min="3" max="3" width="23.140625" customWidth="1"/>
    <col min="4" max="4" width="24.28515625" customWidth="1"/>
    <col min="5" max="5" width="6.42578125" customWidth="1"/>
    <col min="6" max="6" width="15.5703125" customWidth="1"/>
  </cols>
  <sheetData>
    <row r="1" spans="1:17" ht="27" thickBot="1">
      <c r="A1" s="35"/>
      <c r="B1" s="36" t="s">
        <v>18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7"/>
      <c r="P1" s="1"/>
      <c r="Q1" s="1"/>
    </row>
    <row r="2" spans="1:17" ht="15.75" thickBot="1">
      <c r="A2" s="38" t="s">
        <v>17</v>
      </c>
      <c r="B2" s="39"/>
      <c r="C2" s="34">
        <f>ROUND(VLOOKUP("BTC",[1]API!1:1048576,13,FALSE),8)</f>
        <v>6657.9362987000004</v>
      </c>
      <c r="D2" s="38" t="s">
        <v>16</v>
      </c>
      <c r="E2" s="39"/>
      <c r="F2" s="34">
        <f>ROUND(VLOOKUP("ETH",[1]API!1:1048576,13,FALSE),8)</f>
        <v>494.55461677</v>
      </c>
      <c r="G2" s="38" t="s">
        <v>15</v>
      </c>
      <c r="H2" s="39"/>
      <c r="I2" s="34">
        <f>ROUND(VLOOKUP("BCH",[1]API!1:1048576,13,FALSE),8)</f>
        <v>759.70533031000002</v>
      </c>
      <c r="J2" s="33"/>
      <c r="K2" s="69" t="s">
        <v>24</v>
      </c>
      <c r="L2" s="32" t="s">
        <v>23</v>
      </c>
      <c r="M2" s="69" t="s">
        <v>22</v>
      </c>
      <c r="N2" s="40" t="s">
        <v>14</v>
      </c>
      <c r="O2" s="41"/>
      <c r="P2" s="1"/>
      <c r="Q2" s="1"/>
    </row>
    <row r="3" spans="1:17" ht="16.5" thickBot="1">
      <c r="A3" s="24"/>
      <c r="B3" s="7"/>
      <c r="C3" s="23"/>
      <c r="D3" s="24"/>
      <c r="E3" s="7"/>
      <c r="F3" s="7"/>
      <c r="G3" s="31"/>
      <c r="H3" s="31"/>
      <c r="I3" s="31"/>
      <c r="J3" s="30"/>
      <c r="K3" s="42" t="s">
        <v>21</v>
      </c>
      <c r="L3" s="42"/>
      <c r="M3" s="29" t="s">
        <v>21</v>
      </c>
      <c r="N3" s="43" t="s">
        <v>12</v>
      </c>
      <c r="O3" s="44"/>
      <c r="P3" s="20"/>
      <c r="Q3" s="1"/>
    </row>
    <row r="4" spans="1:17" ht="15">
      <c r="A4" s="24"/>
      <c r="B4" s="7"/>
      <c r="C4" s="23"/>
      <c r="D4" s="24"/>
      <c r="E4" s="7"/>
      <c r="F4" s="7"/>
      <c r="G4" s="7"/>
      <c r="H4" s="7"/>
      <c r="I4" s="7"/>
      <c r="J4" s="23"/>
      <c r="K4" s="28" t="s">
        <v>13</v>
      </c>
      <c r="L4" s="27" t="s">
        <v>25</v>
      </c>
      <c r="M4" s="45" t="s">
        <v>19</v>
      </c>
      <c r="N4" s="46"/>
      <c r="O4" s="46"/>
      <c r="P4" s="20"/>
      <c r="Q4" s="1"/>
    </row>
    <row r="5" spans="1:17" ht="15.75">
      <c r="A5" s="24"/>
      <c r="B5" s="7"/>
      <c r="C5" s="23"/>
      <c r="D5" s="24"/>
      <c r="E5" s="7"/>
      <c r="F5" s="7"/>
      <c r="G5" s="7"/>
      <c r="H5" s="7"/>
      <c r="I5" s="7"/>
      <c r="J5" s="23"/>
      <c r="K5" s="26" t="s">
        <v>11</v>
      </c>
      <c r="L5" s="25"/>
      <c r="M5" s="47"/>
      <c r="N5" s="48"/>
      <c r="O5" s="48"/>
      <c r="P5" s="20"/>
      <c r="Q5" s="1"/>
    </row>
    <row r="6" spans="1:17" ht="15.75">
      <c r="A6" s="24"/>
      <c r="B6" s="7"/>
      <c r="C6" s="23"/>
      <c r="D6" s="24"/>
      <c r="E6" s="7"/>
      <c r="F6" s="7"/>
      <c r="G6" s="7"/>
      <c r="H6" s="7"/>
      <c r="I6" s="7"/>
      <c r="J6" s="23"/>
      <c r="K6" s="26" t="s">
        <v>10</v>
      </c>
      <c r="L6" s="25"/>
      <c r="M6" s="47"/>
      <c r="N6" s="48"/>
      <c r="O6" s="48"/>
      <c r="P6" s="20"/>
      <c r="Q6" s="1"/>
    </row>
    <row r="7" spans="1:17" ht="15.75">
      <c r="A7" s="24"/>
      <c r="B7" s="7"/>
      <c r="C7" s="23"/>
      <c r="D7" s="24"/>
      <c r="E7" s="7"/>
      <c r="F7" s="7"/>
      <c r="G7" s="7"/>
      <c r="H7" s="7"/>
      <c r="I7" s="7"/>
      <c r="J7" s="23"/>
      <c r="K7" s="22" t="s">
        <v>9</v>
      </c>
      <c r="L7" s="21"/>
      <c r="M7" s="47"/>
      <c r="N7" s="48"/>
      <c r="O7" s="48"/>
      <c r="P7" s="20"/>
      <c r="Q7" s="1"/>
    </row>
    <row r="8" spans="1:17" ht="15.75">
      <c r="A8" s="24"/>
      <c r="B8" s="7"/>
      <c r="C8" s="23"/>
      <c r="D8" s="24"/>
      <c r="E8" s="7"/>
      <c r="F8" s="7"/>
      <c r="G8" s="7"/>
      <c r="H8" s="7"/>
      <c r="I8" s="7"/>
      <c r="J8" s="23"/>
      <c r="K8" s="26" t="s">
        <v>7</v>
      </c>
      <c r="L8" s="25"/>
      <c r="M8" s="47"/>
      <c r="N8" s="48"/>
      <c r="O8" s="48"/>
      <c r="P8" s="20"/>
      <c r="Q8" s="1"/>
    </row>
    <row r="9" spans="1:17" ht="15.75">
      <c r="A9" s="24"/>
      <c r="B9" s="7"/>
      <c r="C9" s="23"/>
      <c r="D9" s="24"/>
      <c r="E9" s="7"/>
      <c r="F9" s="7"/>
      <c r="G9" s="7"/>
      <c r="H9" s="7"/>
      <c r="I9" s="7"/>
      <c r="J9" s="23"/>
      <c r="K9" s="22" t="s">
        <v>8</v>
      </c>
      <c r="L9" s="21"/>
      <c r="M9" s="47"/>
      <c r="N9" s="48"/>
      <c r="O9" s="48"/>
      <c r="P9" s="20"/>
      <c r="Q9" s="1"/>
    </row>
    <row r="10" spans="1:17" ht="15.75">
      <c r="A10" s="24"/>
      <c r="B10" s="7"/>
      <c r="C10" s="23"/>
      <c r="D10" s="24"/>
      <c r="E10" s="7"/>
      <c r="F10" s="7"/>
      <c r="G10" s="7"/>
      <c r="H10" s="7"/>
      <c r="I10" s="7"/>
      <c r="J10" s="23"/>
      <c r="K10" s="26" t="s">
        <v>7</v>
      </c>
      <c r="L10" s="25"/>
      <c r="M10" s="47"/>
      <c r="N10" s="48"/>
      <c r="O10" s="48"/>
      <c r="P10" s="20"/>
      <c r="Q10" s="1"/>
    </row>
    <row r="11" spans="1:17" ht="15.75">
      <c r="A11" s="24"/>
      <c r="B11" s="7"/>
      <c r="C11" s="23"/>
      <c r="D11" s="24"/>
      <c r="E11" s="7"/>
      <c r="F11" s="7"/>
      <c r="G11" s="7"/>
      <c r="H11" s="7"/>
      <c r="I11" s="7"/>
      <c r="J11" s="23"/>
      <c r="K11" s="26" t="s">
        <v>6</v>
      </c>
      <c r="L11" s="25"/>
      <c r="M11" s="47"/>
      <c r="N11" s="48"/>
      <c r="O11" s="48"/>
      <c r="P11" s="20"/>
      <c r="Q11" s="1"/>
    </row>
    <row r="12" spans="1:17" ht="16.5" thickBot="1">
      <c r="A12" s="24"/>
      <c r="B12" s="7"/>
      <c r="C12" s="23"/>
      <c r="D12" s="24"/>
      <c r="E12" s="7"/>
      <c r="F12" s="7"/>
      <c r="G12" s="7"/>
      <c r="H12" s="7"/>
      <c r="I12" s="7"/>
      <c r="J12" s="23"/>
      <c r="K12" s="22" t="s">
        <v>26</v>
      </c>
      <c r="L12" s="21">
        <f>ROUND(SUM(L5*L11),8)</f>
        <v>0</v>
      </c>
      <c r="M12" s="47"/>
      <c r="N12" s="48"/>
      <c r="O12" s="48"/>
      <c r="P12" s="20"/>
      <c r="Q12" s="1"/>
    </row>
    <row r="13" spans="1:17" ht="16.5" thickBot="1">
      <c r="A13" s="49" t="s">
        <v>5</v>
      </c>
      <c r="B13" s="50"/>
      <c r="C13" s="19">
        <f>SUM(C14:C32)</f>
        <v>5</v>
      </c>
      <c r="D13" s="49" t="s">
        <v>4</v>
      </c>
      <c r="E13" s="51"/>
      <c r="F13" s="18" t="e">
        <f>SUM(F14:F32)</f>
        <v>#VALUE!</v>
      </c>
      <c r="G13" s="49" t="s">
        <v>3</v>
      </c>
      <c r="H13" s="51"/>
      <c r="I13" s="18">
        <f>SUM(I14:I32)</f>
        <v>33168.943588580005</v>
      </c>
      <c r="J13" s="17" t="s">
        <v>2</v>
      </c>
      <c r="K13" s="17" t="s">
        <v>1</v>
      </c>
      <c r="L13" s="17" t="s">
        <v>0</v>
      </c>
      <c r="M13" s="52" t="s">
        <v>20</v>
      </c>
      <c r="N13" s="53"/>
      <c r="O13" s="54"/>
      <c r="P13" s="1"/>
      <c r="Q13" s="1"/>
    </row>
    <row r="14" spans="1:17" ht="15.75">
      <c r="A14" s="55" t="str">
        <f>[1]Berechnungen!AB4</f>
        <v>BTC</v>
      </c>
      <c r="B14" s="56"/>
      <c r="C14" s="16" t="str">
        <f>[1]Berechnungen!AE4</f>
        <v>Modul2</v>
      </c>
      <c r="D14" s="55" t="str">
        <f t="shared" ref="D14:D32" si="0">A14</f>
        <v>BTC</v>
      </c>
      <c r="E14" s="56"/>
      <c r="F14" s="16" t="e">
        <f t="shared" ref="F14:F32" si="1">SUM(I14-C14)</f>
        <v>#VALUE!</v>
      </c>
      <c r="G14" s="55" t="str">
        <f t="shared" ref="G14:G32" si="2">A14</f>
        <v>BTC</v>
      </c>
      <c r="H14" s="56"/>
      <c r="I14" s="16">
        <f>[1]Berechnungen!AD4</f>
        <v>0</v>
      </c>
      <c r="J14" s="15" t="str">
        <f>VLOOKUP(A14,[1]API!1:1048576,4,FALSE)</f>
        <v>1,0</v>
      </c>
      <c r="K14" s="15" t="str">
        <f>VLOOKUP(A14,[1]API!1:1048576,13,FALSE)</f>
        <v>6657,9362987</v>
      </c>
      <c r="L14" s="14" t="e">
        <f t="shared" ref="L14:L32" si="3">ROUND(SUM(I14/C14*100-100),2)</f>
        <v>#VALUE!</v>
      </c>
      <c r="M14" s="57"/>
      <c r="N14" s="58"/>
      <c r="O14" s="59"/>
      <c r="P14" s="1"/>
      <c r="Q14" s="1"/>
    </row>
    <row r="15" spans="1:17" ht="15.75">
      <c r="A15" s="65" t="str">
        <f>[1]Berechnungen!AB5</f>
        <v>ETH</v>
      </c>
      <c r="B15" s="66"/>
      <c r="C15" s="13">
        <f>[1]Berechnungen!AE5</f>
        <v>0</v>
      </c>
      <c r="D15" s="65" t="str">
        <f t="shared" si="0"/>
        <v>ETH</v>
      </c>
      <c r="E15" s="66"/>
      <c r="F15" s="13">
        <f t="shared" si="1"/>
        <v>0</v>
      </c>
      <c r="G15" s="65" t="str">
        <f t="shared" si="2"/>
        <v>ETH</v>
      </c>
      <c r="H15" s="66"/>
      <c r="I15" s="13">
        <f>[1]Berechnungen!AD5</f>
        <v>0</v>
      </c>
      <c r="J15" s="12" t="str">
        <f>VLOOKUP(A15,[1]API!1:1048576,4,FALSE)</f>
        <v>0,0748054</v>
      </c>
      <c r="K15" s="12" t="str">
        <f>VLOOKUP(A15,[1]API!1:1048576,13,FALSE)</f>
        <v>494,55461677</v>
      </c>
      <c r="L15" s="11" t="e">
        <f t="shared" si="3"/>
        <v>#DIV/0!</v>
      </c>
      <c r="M15" s="60"/>
      <c r="N15" s="48"/>
      <c r="O15" s="61"/>
      <c r="P15" s="1"/>
      <c r="Q15" s="1"/>
    </row>
    <row r="16" spans="1:17" ht="15.75">
      <c r="A16" s="65" t="str">
        <f>[1]Berechnungen!AB6</f>
        <v>EUR</v>
      </c>
      <c r="B16" s="66"/>
      <c r="C16" s="13">
        <f>[1]Berechnungen!AE6</f>
        <v>0</v>
      </c>
      <c r="D16" s="65" t="str">
        <f t="shared" si="0"/>
        <v>EUR</v>
      </c>
      <c r="E16" s="66"/>
      <c r="F16" s="13">
        <f t="shared" si="1"/>
        <v>0</v>
      </c>
      <c r="G16" s="65" t="str">
        <f t="shared" si="2"/>
        <v>EUR</v>
      </c>
      <c r="H16" s="66"/>
      <c r="I16" s="13">
        <f>[1]Berechnungen!AD6</f>
        <v>0</v>
      </c>
      <c r="J16" s="12" t="e">
        <f>VLOOKUP(A16,[1]API!1:1048576,4,FALSE)</f>
        <v>#N/A</v>
      </c>
      <c r="K16" s="12" t="e">
        <f>VLOOKUP(A16,[1]API!1:1048576,13,FALSE)</f>
        <v>#N/A</v>
      </c>
      <c r="L16" s="11" t="e">
        <f t="shared" si="3"/>
        <v>#DIV/0!</v>
      </c>
      <c r="M16" s="60"/>
      <c r="N16" s="48"/>
      <c r="O16" s="61"/>
      <c r="P16" s="1"/>
      <c r="Q16" s="1"/>
    </row>
    <row r="17" spans="1:17" ht="15.75">
      <c r="A17" s="65">
        <f>[1]Berechnungen!AB7</f>
        <v>0</v>
      </c>
      <c r="B17" s="66"/>
      <c r="C17" s="13">
        <f>[1]Berechnungen!AE7</f>
        <v>0</v>
      </c>
      <c r="D17" s="65">
        <f t="shared" si="0"/>
        <v>0</v>
      </c>
      <c r="E17" s="66"/>
      <c r="F17" s="13">
        <f t="shared" si="1"/>
        <v>0</v>
      </c>
      <c r="G17" s="65">
        <f t="shared" si="2"/>
        <v>0</v>
      </c>
      <c r="H17" s="66"/>
      <c r="I17" s="13">
        <f>[1]Berechnungen!AD7</f>
        <v>0</v>
      </c>
      <c r="J17" s="12" t="e">
        <f>VLOOKUP(A17,[1]API!1:1048576,4,FALSE)</f>
        <v>#N/A</v>
      </c>
      <c r="K17" s="12" t="e">
        <f>VLOOKUP(A17,[1]API!1:1048576,13,FALSE)</f>
        <v>#N/A</v>
      </c>
      <c r="L17" s="11" t="e">
        <f t="shared" si="3"/>
        <v>#DIV/0!</v>
      </c>
      <c r="M17" s="60"/>
      <c r="N17" s="48"/>
      <c r="O17" s="61"/>
      <c r="P17" s="1"/>
      <c r="Q17" s="1"/>
    </row>
    <row r="18" spans="1:17" ht="15.75">
      <c r="A18" s="65">
        <f>[1]Berechnungen!AB8</f>
        <v>0</v>
      </c>
      <c r="B18" s="66"/>
      <c r="C18" s="13">
        <f>[1]Berechnungen!AE8</f>
        <v>0</v>
      </c>
      <c r="D18" s="65">
        <f t="shared" si="0"/>
        <v>0</v>
      </c>
      <c r="E18" s="66"/>
      <c r="F18" s="13">
        <f t="shared" si="1"/>
        <v>0</v>
      </c>
      <c r="G18" s="65">
        <f t="shared" si="2"/>
        <v>0</v>
      </c>
      <c r="H18" s="66"/>
      <c r="I18" s="13">
        <f>[1]Berechnungen!AD8</f>
        <v>0</v>
      </c>
      <c r="J18" s="12" t="e">
        <f>VLOOKUP(A18,[1]API!1:1048576,4,FALSE)</f>
        <v>#N/A</v>
      </c>
      <c r="K18" s="12" t="e">
        <f>VLOOKUP(A18,[1]API!1:1048576,13,FALSE)</f>
        <v>#N/A</v>
      </c>
      <c r="L18" s="11" t="e">
        <f t="shared" si="3"/>
        <v>#DIV/0!</v>
      </c>
      <c r="M18" s="60"/>
      <c r="N18" s="48"/>
      <c r="O18" s="61"/>
      <c r="P18" s="1"/>
      <c r="Q18" s="1"/>
    </row>
    <row r="19" spans="1:17" ht="15.75">
      <c r="A19" s="65">
        <f>[1]Berechnungen!AB9</f>
        <v>0</v>
      </c>
      <c r="B19" s="66"/>
      <c r="C19" s="13">
        <f>[1]Berechnungen!AE9</f>
        <v>0</v>
      </c>
      <c r="D19" s="65">
        <f t="shared" si="0"/>
        <v>0</v>
      </c>
      <c r="E19" s="66"/>
      <c r="F19" s="13">
        <f t="shared" si="1"/>
        <v>0</v>
      </c>
      <c r="G19" s="65">
        <f t="shared" si="2"/>
        <v>0</v>
      </c>
      <c r="H19" s="66"/>
      <c r="I19" s="13">
        <f>[1]Berechnungen!AD9</f>
        <v>0</v>
      </c>
      <c r="J19" s="12" t="e">
        <f>VLOOKUP(A19,[1]API!1:1048576,4,FALSE)</f>
        <v>#N/A</v>
      </c>
      <c r="K19" s="12" t="e">
        <f>VLOOKUP(A19,[1]API!1:1048576,13,FALSE)</f>
        <v>#N/A</v>
      </c>
      <c r="L19" s="11" t="e">
        <f t="shared" si="3"/>
        <v>#DIV/0!</v>
      </c>
      <c r="M19" s="60"/>
      <c r="N19" s="48"/>
      <c r="O19" s="61"/>
      <c r="P19" s="1"/>
      <c r="Q19" s="1"/>
    </row>
    <row r="20" spans="1:17" ht="15.75">
      <c r="A20" s="65">
        <f>[1]Berechnungen!AB10</f>
        <v>0</v>
      </c>
      <c r="B20" s="66"/>
      <c r="C20" s="13">
        <f>[1]Berechnungen!AE10</f>
        <v>0</v>
      </c>
      <c r="D20" s="65">
        <f t="shared" si="0"/>
        <v>0</v>
      </c>
      <c r="E20" s="66"/>
      <c r="F20" s="13">
        <f t="shared" si="1"/>
        <v>0</v>
      </c>
      <c r="G20" s="65">
        <f t="shared" si="2"/>
        <v>0</v>
      </c>
      <c r="H20" s="66"/>
      <c r="I20" s="13">
        <f>[1]Berechnungen!AD10</f>
        <v>0</v>
      </c>
      <c r="J20" s="12" t="e">
        <f>VLOOKUP(A20,[1]API!1:1048576,4,FALSE)</f>
        <v>#N/A</v>
      </c>
      <c r="K20" s="12" t="e">
        <f>VLOOKUP(A20,[1]API!1:1048576,13,FALSE)</f>
        <v>#N/A</v>
      </c>
      <c r="L20" s="11" t="e">
        <f t="shared" si="3"/>
        <v>#DIV/0!</v>
      </c>
      <c r="M20" s="60"/>
      <c r="N20" s="48"/>
      <c r="O20" s="61"/>
      <c r="P20" s="1"/>
      <c r="Q20" s="1"/>
    </row>
    <row r="21" spans="1:17" ht="15.75">
      <c r="A21" s="65" t="e">
        <f>[1]Berechnungen!AB11</f>
        <v>#N/A</v>
      </c>
      <c r="B21" s="66"/>
      <c r="C21" s="13">
        <f>[1]Berechnungen!AE11</f>
        <v>0</v>
      </c>
      <c r="D21" s="65" t="e">
        <f t="shared" si="0"/>
        <v>#N/A</v>
      </c>
      <c r="E21" s="66"/>
      <c r="F21" s="13">
        <f t="shared" si="1"/>
        <v>0</v>
      </c>
      <c r="G21" s="65" t="e">
        <f t="shared" si="2"/>
        <v>#N/A</v>
      </c>
      <c r="H21" s="66"/>
      <c r="I21" s="13">
        <f>[1]Berechnungen!AD11</f>
        <v>0</v>
      </c>
      <c r="J21" s="12" t="e">
        <f>VLOOKUP(A21,[1]API!1:1048576,4,FALSE)</f>
        <v>#N/A</v>
      </c>
      <c r="K21" s="12" t="e">
        <f>VLOOKUP(A21,[1]API!1:1048576,13,FALSE)</f>
        <v>#N/A</v>
      </c>
      <c r="L21" s="11" t="e">
        <f t="shared" si="3"/>
        <v>#DIV/0!</v>
      </c>
      <c r="M21" s="60"/>
      <c r="N21" s="48"/>
      <c r="O21" s="61"/>
      <c r="P21" s="1"/>
      <c r="Q21" s="1"/>
    </row>
    <row r="22" spans="1:17" ht="15.75">
      <c r="A22" s="65">
        <f>[1]Berechnungen!AB12</f>
        <v>0</v>
      </c>
      <c r="B22" s="66"/>
      <c r="C22" s="13">
        <f>[1]Berechnungen!AE12</f>
        <v>0</v>
      </c>
      <c r="D22" s="65">
        <f t="shared" si="0"/>
        <v>0</v>
      </c>
      <c r="E22" s="66"/>
      <c r="F22" s="13">
        <f t="shared" si="1"/>
        <v>11.232017539999999</v>
      </c>
      <c r="G22" s="65">
        <f t="shared" si="2"/>
        <v>0</v>
      </c>
      <c r="H22" s="66"/>
      <c r="I22" s="13">
        <f>[1]Berechnungen!AD12</f>
        <v>11.232017539999999</v>
      </c>
      <c r="J22" s="12" t="e">
        <f>VLOOKUP(A22,[1]API!1:1048576,4,FALSE)</f>
        <v>#N/A</v>
      </c>
      <c r="K22" s="12" t="e">
        <f>VLOOKUP(A22,[1]API!1:1048576,13,FALSE)</f>
        <v>#N/A</v>
      </c>
      <c r="L22" s="11" t="e">
        <f t="shared" si="3"/>
        <v>#DIV/0!</v>
      </c>
      <c r="M22" s="60"/>
      <c r="N22" s="48"/>
      <c r="O22" s="61"/>
      <c r="P22" s="1"/>
      <c r="Q22" s="1"/>
    </row>
    <row r="23" spans="1:17" ht="15.75">
      <c r="A23" s="65">
        <f>[1]Berechnungen!AB13</f>
        <v>0</v>
      </c>
      <c r="B23" s="66"/>
      <c r="C23" s="13">
        <f>[1]Berechnungen!AE13</f>
        <v>0</v>
      </c>
      <c r="D23" s="65">
        <f t="shared" si="0"/>
        <v>0</v>
      </c>
      <c r="E23" s="66"/>
      <c r="F23" s="13">
        <f t="shared" si="1"/>
        <v>22.24157104</v>
      </c>
      <c r="G23" s="65">
        <f t="shared" si="2"/>
        <v>0</v>
      </c>
      <c r="H23" s="66"/>
      <c r="I23" s="13">
        <f>[1]Berechnungen!AD13</f>
        <v>22.24157104</v>
      </c>
      <c r="J23" s="12" t="e">
        <f>VLOOKUP(A23,[1]API!1:1048576,4,FALSE)</f>
        <v>#N/A</v>
      </c>
      <c r="K23" s="12" t="e">
        <f>VLOOKUP(A23,[1]API!1:1048576,13,FALSE)</f>
        <v>#N/A</v>
      </c>
      <c r="L23" s="11" t="e">
        <f t="shared" si="3"/>
        <v>#DIV/0!</v>
      </c>
      <c r="M23" s="60"/>
      <c r="N23" s="48"/>
      <c r="O23" s="61"/>
      <c r="P23" s="1"/>
      <c r="Q23" s="1"/>
    </row>
    <row r="24" spans="1:17" ht="15.75">
      <c r="A24" s="65" t="str">
        <f>[1]Berechnungen!AB14</f>
        <v>Anzahl VK</v>
      </c>
      <c r="B24" s="66"/>
      <c r="C24" s="13">
        <f>[1]Berechnungen!AE14</f>
        <v>0</v>
      </c>
      <c r="D24" s="65" t="str">
        <f t="shared" si="0"/>
        <v>Anzahl VK</v>
      </c>
      <c r="E24" s="66"/>
      <c r="F24" s="13" t="e">
        <f t="shared" si="1"/>
        <v>#VALUE!</v>
      </c>
      <c r="G24" s="65" t="str">
        <f t="shared" si="2"/>
        <v>Anzahl VK</v>
      </c>
      <c r="H24" s="66"/>
      <c r="I24" s="13" t="str">
        <f>[1]Berechnungen!AD14</f>
        <v>26.02.2018</v>
      </c>
      <c r="J24" s="12" t="e">
        <f>VLOOKUP(A24,[1]API!1:1048576,4,FALSE)</f>
        <v>#N/A</v>
      </c>
      <c r="K24" s="12" t="e">
        <f>VLOOKUP(A24,[1]API!1:1048576,13,FALSE)</f>
        <v>#N/A</v>
      </c>
      <c r="L24" s="11" t="e">
        <f t="shared" si="3"/>
        <v>#VALUE!</v>
      </c>
      <c r="M24" s="60"/>
      <c r="N24" s="48"/>
      <c r="O24" s="61"/>
      <c r="P24" s="1"/>
      <c r="Q24" s="1"/>
    </row>
    <row r="25" spans="1:17" ht="15.75">
      <c r="A25" s="65">
        <f>[1]Berechnungen!AB15</f>
        <v>1.998</v>
      </c>
      <c r="B25" s="66"/>
      <c r="C25" s="13">
        <f>[1]Berechnungen!AE15</f>
        <v>0</v>
      </c>
      <c r="D25" s="65">
        <f t="shared" si="0"/>
        <v>1.998</v>
      </c>
      <c r="E25" s="66"/>
      <c r="F25" s="13">
        <f t="shared" si="1"/>
        <v>16567.73</v>
      </c>
      <c r="G25" s="65">
        <f t="shared" si="2"/>
        <v>1.998</v>
      </c>
      <c r="H25" s="66"/>
      <c r="I25" s="13">
        <f>[1]Berechnungen!AD15</f>
        <v>16567.73</v>
      </c>
      <c r="J25" s="12" t="e">
        <f>VLOOKUP(A25,[1]API!1:1048576,4,FALSE)</f>
        <v>#N/A</v>
      </c>
      <c r="K25" s="12" t="e">
        <f>VLOOKUP(A25,[1]API!1:1048576,13,FALSE)</f>
        <v>#N/A</v>
      </c>
      <c r="L25" s="11" t="e">
        <f t="shared" si="3"/>
        <v>#DIV/0!</v>
      </c>
      <c r="M25" s="60"/>
      <c r="N25" s="48"/>
      <c r="O25" s="61"/>
      <c r="P25" s="1"/>
      <c r="Q25" s="1"/>
    </row>
    <row r="26" spans="1:17" ht="15.75">
      <c r="A26" s="65" t="str">
        <f>[1]Berechnungen!AB16</f>
        <v>Anz. Pos</v>
      </c>
      <c r="B26" s="66"/>
      <c r="C26" s="13">
        <f>[1]Berechnungen!AE16</f>
        <v>0</v>
      </c>
      <c r="D26" s="65" t="str">
        <f t="shared" si="0"/>
        <v>Anz. Pos</v>
      </c>
      <c r="E26" s="66"/>
      <c r="F26" s="13">
        <f t="shared" si="1"/>
        <v>0</v>
      </c>
      <c r="G26" s="65" t="str">
        <f t="shared" si="2"/>
        <v>Anz. Pos</v>
      </c>
      <c r="H26" s="66"/>
      <c r="I26" s="13">
        <f>[1]Berechnungen!AD16</f>
        <v>0</v>
      </c>
      <c r="J26" s="12" t="e">
        <f>VLOOKUP(A26,[1]API!1:1048576,4,FALSE)</f>
        <v>#N/A</v>
      </c>
      <c r="K26" s="12" t="e">
        <f>VLOOKUP(A26,[1]API!1:1048576,13,FALSE)</f>
        <v>#N/A</v>
      </c>
      <c r="L26" s="11" t="e">
        <f t="shared" si="3"/>
        <v>#DIV/0!</v>
      </c>
      <c r="M26" s="60"/>
      <c r="N26" s="48"/>
      <c r="O26" s="61"/>
      <c r="P26" s="1"/>
      <c r="Q26" s="1"/>
    </row>
    <row r="27" spans="1:17" ht="15.75">
      <c r="A27" s="65">
        <f>[1]Berechnungen!AB17</f>
        <v>0.999</v>
      </c>
      <c r="B27" s="66"/>
      <c r="C27" s="13">
        <f>[1]Berechnungen!AE17</f>
        <v>0</v>
      </c>
      <c r="D27" s="65">
        <f t="shared" si="0"/>
        <v>0.999</v>
      </c>
      <c r="E27" s="66"/>
      <c r="F27" s="13">
        <f t="shared" si="1"/>
        <v>8283.8700000000008</v>
      </c>
      <c r="G27" s="65">
        <f t="shared" si="2"/>
        <v>0.999</v>
      </c>
      <c r="H27" s="66"/>
      <c r="I27" s="13">
        <f>[1]Berechnungen!AD17</f>
        <v>8283.8700000000008</v>
      </c>
      <c r="J27" s="12" t="e">
        <f>VLOOKUP(A27,[1]API!1:1048576,4,FALSE)</f>
        <v>#N/A</v>
      </c>
      <c r="K27" s="12" t="e">
        <f>VLOOKUP(A27,[1]API!1:1048576,13,FALSE)</f>
        <v>#N/A</v>
      </c>
      <c r="L27" s="11" t="e">
        <f t="shared" si="3"/>
        <v>#DIV/0!</v>
      </c>
      <c r="M27" s="60"/>
      <c r="N27" s="48"/>
      <c r="O27" s="61"/>
      <c r="P27" s="1"/>
      <c r="Q27" s="1"/>
    </row>
    <row r="28" spans="1:17" ht="15.75">
      <c r="A28" s="65">
        <f>[1]Berechnungen!AB18</f>
        <v>0.999</v>
      </c>
      <c r="B28" s="66"/>
      <c r="C28" s="13">
        <f>[1]Berechnungen!AE18</f>
        <v>0</v>
      </c>
      <c r="D28" s="65">
        <f t="shared" si="0"/>
        <v>0.999</v>
      </c>
      <c r="E28" s="66"/>
      <c r="F28" s="13">
        <f t="shared" si="1"/>
        <v>8283.8700000000008</v>
      </c>
      <c r="G28" s="65">
        <f t="shared" si="2"/>
        <v>0.999</v>
      </c>
      <c r="H28" s="66"/>
      <c r="I28" s="13">
        <f>[1]Berechnungen!AD18</f>
        <v>8283.8700000000008</v>
      </c>
      <c r="J28" s="12" t="e">
        <f>VLOOKUP(A28,[1]API!1:1048576,4,FALSE)</f>
        <v>#N/A</v>
      </c>
      <c r="K28" s="12" t="e">
        <f>VLOOKUP(A28,[1]API!1:1048576,13,FALSE)</f>
        <v>#N/A</v>
      </c>
      <c r="L28" s="11" t="e">
        <f t="shared" si="3"/>
        <v>#DIV/0!</v>
      </c>
      <c r="M28" s="60"/>
      <c r="N28" s="48"/>
      <c r="O28" s="61"/>
      <c r="P28" s="1"/>
      <c r="Q28" s="1"/>
    </row>
    <row r="29" spans="1:17" ht="15.75">
      <c r="A29" s="65">
        <f>[1]Berechnungen!AB19</f>
        <v>0</v>
      </c>
      <c r="B29" s="66"/>
      <c r="C29" s="13">
        <f>[1]Berechnungen!AE19</f>
        <v>0</v>
      </c>
      <c r="D29" s="65">
        <f t="shared" si="0"/>
        <v>0</v>
      </c>
      <c r="E29" s="66"/>
      <c r="F29" s="13">
        <f t="shared" si="1"/>
        <v>0</v>
      </c>
      <c r="G29" s="65">
        <f t="shared" si="2"/>
        <v>0</v>
      </c>
      <c r="H29" s="66"/>
      <c r="I29" s="13">
        <f>[1]Berechnungen!AD19</f>
        <v>0</v>
      </c>
      <c r="J29" s="12" t="e">
        <f>VLOOKUP(A29,[1]API!1:1048576,4,FALSE)</f>
        <v>#N/A</v>
      </c>
      <c r="K29" s="12" t="e">
        <f>VLOOKUP(A29,[1]API!1:1048576,13,FALSE)</f>
        <v>#N/A</v>
      </c>
      <c r="L29" s="11" t="e">
        <f t="shared" si="3"/>
        <v>#DIV/0!</v>
      </c>
      <c r="M29" s="60"/>
      <c r="N29" s="48"/>
      <c r="O29" s="61"/>
      <c r="P29" s="1"/>
      <c r="Q29" s="1"/>
    </row>
    <row r="30" spans="1:17" ht="15.75">
      <c r="A30" s="65" t="str">
        <f>[1]Berechnungen!AB20</f>
        <v>Coin</v>
      </c>
      <c r="B30" s="66"/>
      <c r="C30" s="13" t="str">
        <f>[1]Berechnungen!AE20</f>
        <v>Zeile INV</v>
      </c>
      <c r="D30" s="65" t="str">
        <f t="shared" si="0"/>
        <v>Coin</v>
      </c>
      <c r="E30" s="66"/>
      <c r="F30" s="13" t="e">
        <f t="shared" si="1"/>
        <v>#VALUE!</v>
      </c>
      <c r="G30" s="65" t="str">
        <f t="shared" si="2"/>
        <v>Coin</v>
      </c>
      <c r="H30" s="66"/>
      <c r="I30" s="13" t="str">
        <f>[1]Berechnungen!AD20</f>
        <v>Datum</v>
      </c>
      <c r="J30" s="12" t="e">
        <f>VLOOKUP(A30,[1]API!1:1048576,4,FALSE)</f>
        <v>#N/A</v>
      </c>
      <c r="K30" s="12" t="e">
        <f>VLOOKUP(A30,[1]API!1:1048576,13,FALSE)</f>
        <v>#N/A</v>
      </c>
      <c r="L30" s="11" t="e">
        <f t="shared" si="3"/>
        <v>#VALUE!</v>
      </c>
      <c r="M30" s="60"/>
      <c r="N30" s="48"/>
      <c r="O30" s="61"/>
      <c r="P30" s="1"/>
      <c r="Q30" s="1"/>
    </row>
    <row r="31" spans="1:17" ht="15.75">
      <c r="A31" s="65">
        <f>[1]Berechnungen!AB21</f>
        <v>0</v>
      </c>
      <c r="B31" s="66"/>
      <c r="C31" s="13" t="str">
        <f>[1]Berechnungen!AE21</f>
        <v>Zeile INV</v>
      </c>
      <c r="D31" s="65">
        <f t="shared" si="0"/>
        <v>0</v>
      </c>
      <c r="E31" s="66"/>
      <c r="F31" s="13" t="e">
        <f t="shared" si="1"/>
        <v>#VALUE!</v>
      </c>
      <c r="G31" s="65">
        <f t="shared" si="2"/>
        <v>0</v>
      </c>
      <c r="H31" s="66"/>
      <c r="I31" s="13">
        <f>[1]Berechnungen!AD21</f>
        <v>0</v>
      </c>
      <c r="J31" s="12" t="e">
        <f>VLOOKUP(A31,[1]API!1:1048576,4,FALSE)</f>
        <v>#N/A</v>
      </c>
      <c r="K31" s="12" t="e">
        <f>VLOOKUP(A31,[1]API!1:1048576,13,FALSE)</f>
        <v>#N/A</v>
      </c>
      <c r="L31" s="11" t="e">
        <f t="shared" si="3"/>
        <v>#VALUE!</v>
      </c>
      <c r="M31" s="60"/>
      <c r="N31" s="48"/>
      <c r="O31" s="61"/>
      <c r="P31" s="1"/>
      <c r="Q31" s="1"/>
    </row>
    <row r="32" spans="1:17" ht="16.5" thickBot="1">
      <c r="A32" s="67">
        <f>[1]Berechnungen!AB22</f>
        <v>0</v>
      </c>
      <c r="B32" s="68"/>
      <c r="C32" s="10">
        <f>[1]Berechnungen!AE22</f>
        <v>5</v>
      </c>
      <c r="D32" s="67">
        <f t="shared" si="0"/>
        <v>0</v>
      </c>
      <c r="E32" s="68"/>
      <c r="F32" s="10">
        <f t="shared" si="1"/>
        <v>-5</v>
      </c>
      <c r="G32" s="67">
        <f t="shared" si="2"/>
        <v>0</v>
      </c>
      <c r="H32" s="68"/>
      <c r="I32" s="10">
        <f>[1]Berechnungen!AD22</f>
        <v>0</v>
      </c>
      <c r="J32" s="9" t="e">
        <f>VLOOKUP(A32,[1]API!1:1048576,4,FALSE)</f>
        <v>#N/A</v>
      </c>
      <c r="K32" s="9" t="e">
        <f>VLOOKUP(A32,[1]API!1:1048576,13,FALSE)</f>
        <v>#N/A</v>
      </c>
      <c r="L32" s="8">
        <f t="shared" si="3"/>
        <v>-100</v>
      </c>
      <c r="M32" s="62"/>
      <c r="N32" s="63"/>
      <c r="O32" s="64"/>
      <c r="P32" s="1"/>
      <c r="Q32" s="1"/>
    </row>
    <row r="33" spans="1:17" ht="15.75">
      <c r="A33" s="66"/>
      <c r="B33" s="66"/>
      <c r="C33" s="5"/>
      <c r="D33" s="66"/>
      <c r="E33" s="66"/>
      <c r="F33" s="5"/>
      <c r="G33" s="66"/>
      <c r="H33" s="66"/>
      <c r="I33" s="5"/>
      <c r="J33" s="5"/>
      <c r="K33" s="5"/>
      <c r="L33" s="4"/>
      <c r="M33" s="7"/>
      <c r="N33" s="7"/>
      <c r="O33" s="6"/>
      <c r="P33" s="1"/>
      <c r="Q33" s="1"/>
    </row>
    <row r="34" spans="1:17" ht="15.75">
      <c r="A34" s="66"/>
      <c r="B34" s="66"/>
      <c r="C34" s="5"/>
      <c r="D34" s="66"/>
      <c r="E34" s="66"/>
      <c r="F34" s="5"/>
      <c r="G34" s="66"/>
      <c r="H34" s="66"/>
      <c r="I34" s="5"/>
      <c r="J34" s="5"/>
      <c r="K34" s="5"/>
      <c r="L34" s="4"/>
      <c r="M34" s="7"/>
      <c r="N34" s="7"/>
      <c r="O34" s="6"/>
      <c r="P34" s="1"/>
      <c r="Q34" s="1"/>
    </row>
    <row r="35" spans="1:17" ht="15.75">
      <c r="A35" s="66"/>
      <c r="B35" s="66"/>
      <c r="C35" s="5"/>
      <c r="D35" s="66"/>
      <c r="E35" s="66"/>
      <c r="F35" s="5"/>
      <c r="G35" s="66"/>
      <c r="H35" s="66"/>
      <c r="I35" s="5"/>
      <c r="J35" s="5"/>
      <c r="K35" s="5"/>
      <c r="L35" s="4"/>
      <c r="M35" s="7"/>
      <c r="N35" s="7"/>
      <c r="O35" s="6"/>
      <c r="P35" s="1"/>
      <c r="Q35" s="1"/>
    </row>
    <row r="36" spans="1:17" ht="15.75">
      <c r="A36" s="66"/>
      <c r="B36" s="66"/>
      <c r="C36" s="5"/>
      <c r="D36" s="66"/>
      <c r="E36" s="66"/>
      <c r="F36" s="5"/>
      <c r="G36" s="66"/>
      <c r="H36" s="66"/>
      <c r="I36" s="5"/>
      <c r="J36" s="5"/>
      <c r="K36" s="5"/>
      <c r="L36" s="4"/>
      <c r="M36" s="7"/>
      <c r="N36" s="7"/>
      <c r="O36" s="6"/>
      <c r="P36" s="1"/>
      <c r="Q36" s="1"/>
    </row>
    <row r="37" spans="1:17" ht="15.75">
      <c r="A37" s="66"/>
      <c r="B37" s="66"/>
      <c r="C37" s="5"/>
      <c r="D37" s="66"/>
      <c r="E37" s="66"/>
      <c r="F37" s="5"/>
      <c r="G37" s="66"/>
      <c r="H37" s="66"/>
      <c r="I37" s="5"/>
      <c r="J37" s="5"/>
      <c r="K37" s="5"/>
      <c r="L37" s="4"/>
      <c r="M37" s="7"/>
      <c r="N37" s="7"/>
      <c r="O37" s="6"/>
      <c r="P37" s="1"/>
      <c r="Q37" s="1"/>
    </row>
    <row r="38" spans="1:17" ht="15.75">
      <c r="A38" s="66"/>
      <c r="B38" s="66"/>
      <c r="C38" s="5"/>
      <c r="D38" s="66"/>
      <c r="E38" s="66"/>
      <c r="F38" s="5"/>
      <c r="G38" s="66"/>
      <c r="H38" s="66"/>
      <c r="I38" s="5"/>
      <c r="J38" s="5"/>
      <c r="K38" s="5"/>
      <c r="L38" s="4"/>
      <c r="M38" s="7"/>
      <c r="N38" s="7"/>
      <c r="O38" s="6"/>
      <c r="P38" s="1"/>
      <c r="Q38" s="1"/>
    </row>
    <row r="39" spans="1:17" ht="15.75">
      <c r="A39" s="66"/>
      <c r="B39" s="66"/>
      <c r="C39" s="5"/>
      <c r="D39" s="66"/>
      <c r="E39" s="66"/>
      <c r="F39" s="5"/>
      <c r="G39" s="66"/>
      <c r="H39" s="66"/>
      <c r="I39" s="5"/>
      <c r="J39" s="5"/>
      <c r="K39" s="5"/>
      <c r="L39" s="4"/>
      <c r="M39" s="7"/>
      <c r="N39" s="7"/>
      <c r="O39" s="6"/>
      <c r="P39" s="1"/>
      <c r="Q39" s="1"/>
    </row>
    <row r="40" spans="1:17" ht="15.75">
      <c r="A40" s="66"/>
      <c r="B40" s="66"/>
      <c r="C40" s="5"/>
      <c r="D40" s="66"/>
      <c r="E40" s="66"/>
      <c r="F40" s="5"/>
      <c r="G40" s="66"/>
      <c r="H40" s="66"/>
      <c r="I40" s="5"/>
      <c r="J40" s="5"/>
      <c r="K40" s="5"/>
      <c r="L40" s="4"/>
      <c r="M40" s="7"/>
      <c r="N40" s="7"/>
      <c r="O40" s="6"/>
      <c r="P40" s="1"/>
      <c r="Q40" s="1"/>
    </row>
    <row r="41" spans="1:17" ht="15.75">
      <c r="A41" s="66"/>
      <c r="B41" s="66"/>
      <c r="C41" s="5"/>
      <c r="D41" s="66"/>
      <c r="E41" s="66"/>
      <c r="F41" s="5"/>
      <c r="G41" s="66"/>
      <c r="H41" s="66"/>
      <c r="I41" s="5"/>
      <c r="J41" s="5"/>
      <c r="K41" s="5"/>
      <c r="L41" s="4"/>
      <c r="M41" s="7"/>
      <c r="N41" s="7"/>
      <c r="O41" s="6"/>
      <c r="P41" s="1"/>
      <c r="Q41" s="1"/>
    </row>
    <row r="42" spans="1:17" ht="15.75">
      <c r="A42" s="66"/>
      <c r="B42" s="66"/>
      <c r="C42" s="5"/>
      <c r="D42" s="66"/>
      <c r="E42" s="66"/>
      <c r="F42" s="5"/>
      <c r="G42" s="66"/>
      <c r="H42" s="66"/>
      <c r="I42" s="5"/>
      <c r="J42" s="5"/>
      <c r="K42" s="5"/>
      <c r="L42" s="4"/>
      <c r="M42" s="7"/>
      <c r="N42" s="7"/>
      <c r="O42" s="6"/>
      <c r="P42" s="1"/>
      <c r="Q42" s="1"/>
    </row>
    <row r="43" spans="1:17" ht="15.75">
      <c r="A43" s="66"/>
      <c r="B43" s="66"/>
      <c r="C43" s="5"/>
      <c r="D43" s="66"/>
      <c r="E43" s="66"/>
      <c r="F43" s="5"/>
      <c r="G43" s="66"/>
      <c r="H43" s="66"/>
      <c r="I43" s="5"/>
      <c r="J43" s="5"/>
      <c r="K43" s="5"/>
      <c r="L43" s="4"/>
      <c r="M43" s="7"/>
      <c r="N43" s="7"/>
      <c r="O43" s="6"/>
      <c r="P43" s="1"/>
      <c r="Q43" s="1"/>
    </row>
    <row r="44" spans="1:17" ht="15.75">
      <c r="A44" s="66"/>
      <c r="B44" s="66"/>
      <c r="C44" s="5"/>
      <c r="D44" s="66"/>
      <c r="E44" s="66"/>
      <c r="F44" s="5"/>
      <c r="G44" s="66"/>
      <c r="H44" s="66"/>
      <c r="I44" s="5"/>
      <c r="J44" s="5"/>
      <c r="K44" s="5"/>
      <c r="L44" s="4"/>
      <c r="M44" s="7"/>
      <c r="N44" s="7"/>
      <c r="O44" s="6"/>
      <c r="P44" s="1"/>
      <c r="Q44" s="1"/>
    </row>
    <row r="45" spans="1:17" ht="15.75">
      <c r="A45" s="66"/>
      <c r="B45" s="66"/>
      <c r="C45" s="5"/>
      <c r="D45" s="66"/>
      <c r="E45" s="66"/>
      <c r="F45" s="5"/>
      <c r="G45" s="66"/>
      <c r="H45" s="66"/>
      <c r="I45" s="5"/>
      <c r="J45" s="5"/>
      <c r="K45" s="5"/>
      <c r="L45" s="4"/>
      <c r="M45" s="7"/>
      <c r="N45" s="7"/>
      <c r="O45" s="6"/>
      <c r="P45" s="1"/>
      <c r="Q45" s="1"/>
    </row>
    <row r="46" spans="1:17" ht="15.75">
      <c r="A46" s="66"/>
      <c r="B46" s="66"/>
      <c r="C46" s="5"/>
      <c r="D46" s="66"/>
      <c r="E46" s="66"/>
      <c r="F46" s="5"/>
      <c r="G46" s="66"/>
      <c r="H46" s="66"/>
      <c r="I46" s="5"/>
      <c r="J46" s="5"/>
      <c r="K46" s="5"/>
      <c r="L46" s="4"/>
      <c r="M46" s="7"/>
      <c r="N46" s="7"/>
      <c r="O46" s="6"/>
      <c r="P46" s="1"/>
      <c r="Q46" s="1"/>
    </row>
    <row r="47" spans="1:17" ht="16.5" thickBot="1">
      <c r="A47" s="66"/>
      <c r="B47" s="66"/>
      <c r="C47" s="5"/>
      <c r="D47" s="66"/>
      <c r="E47" s="66"/>
      <c r="F47" s="5"/>
      <c r="G47" s="66"/>
      <c r="H47" s="66"/>
      <c r="I47" s="5"/>
      <c r="J47" s="5"/>
      <c r="K47" s="5"/>
      <c r="L47" s="4"/>
      <c r="M47" s="3"/>
      <c r="N47" s="3"/>
      <c r="O47" s="2"/>
      <c r="P47" s="1"/>
      <c r="Q47" s="1"/>
    </row>
  </sheetData>
  <mergeCells count="115">
    <mergeCell ref="A46:B46"/>
    <mergeCell ref="D46:E46"/>
    <mergeCell ref="G46:H46"/>
    <mergeCell ref="A47:B47"/>
    <mergeCell ref="D47:E47"/>
    <mergeCell ref="G47:H47"/>
    <mergeCell ref="A44:B44"/>
    <mergeCell ref="D44:E44"/>
    <mergeCell ref="G44:H44"/>
    <mergeCell ref="A45:B45"/>
    <mergeCell ref="D45:E45"/>
    <mergeCell ref="G45:H45"/>
    <mergeCell ref="A42:B42"/>
    <mergeCell ref="D42:E42"/>
    <mergeCell ref="G42:H42"/>
    <mergeCell ref="A43:B43"/>
    <mergeCell ref="D43:E43"/>
    <mergeCell ref="G43:H43"/>
    <mergeCell ref="A40:B40"/>
    <mergeCell ref="D40:E40"/>
    <mergeCell ref="G40:H40"/>
    <mergeCell ref="A41:B41"/>
    <mergeCell ref="D41:E41"/>
    <mergeCell ref="G41:H41"/>
    <mergeCell ref="A38:B38"/>
    <mergeCell ref="D38:E38"/>
    <mergeCell ref="G38:H38"/>
    <mergeCell ref="A39:B39"/>
    <mergeCell ref="D39:E39"/>
    <mergeCell ref="G39:H39"/>
    <mergeCell ref="A36:B36"/>
    <mergeCell ref="D36:E36"/>
    <mergeCell ref="G36:H36"/>
    <mergeCell ref="A37:B37"/>
    <mergeCell ref="D37:E37"/>
    <mergeCell ref="G37:H37"/>
    <mergeCell ref="D34:E34"/>
    <mergeCell ref="G34:H34"/>
    <mergeCell ref="A35:B35"/>
    <mergeCell ref="D35:E35"/>
    <mergeCell ref="G35:H35"/>
    <mergeCell ref="G31:H31"/>
    <mergeCell ref="A32:B32"/>
    <mergeCell ref="D32:E32"/>
    <mergeCell ref="G32:H32"/>
    <mergeCell ref="A33:B33"/>
    <mergeCell ref="D33:E33"/>
    <mergeCell ref="G33:H33"/>
    <mergeCell ref="A31:B31"/>
    <mergeCell ref="D31:E31"/>
    <mergeCell ref="A34:B34"/>
    <mergeCell ref="G28:H28"/>
    <mergeCell ref="A29:B29"/>
    <mergeCell ref="D29:E29"/>
    <mergeCell ref="G29:H29"/>
    <mergeCell ref="A30:B30"/>
    <mergeCell ref="D30:E30"/>
    <mergeCell ref="G30:H30"/>
    <mergeCell ref="G25:H25"/>
    <mergeCell ref="A26:B26"/>
    <mergeCell ref="D26:E26"/>
    <mergeCell ref="G26:H26"/>
    <mergeCell ref="A27:B27"/>
    <mergeCell ref="D27:E27"/>
    <mergeCell ref="G27:H27"/>
    <mergeCell ref="G22:H22"/>
    <mergeCell ref="A23:B23"/>
    <mergeCell ref="D23:E23"/>
    <mergeCell ref="G23:H23"/>
    <mergeCell ref="A24:B24"/>
    <mergeCell ref="D24:E24"/>
    <mergeCell ref="G24:H24"/>
    <mergeCell ref="G19:H19"/>
    <mergeCell ref="A20:B20"/>
    <mergeCell ref="D20:E20"/>
    <mergeCell ref="G20:H20"/>
    <mergeCell ref="A21:B21"/>
    <mergeCell ref="D21:E21"/>
    <mergeCell ref="G21:H21"/>
    <mergeCell ref="G14:H14"/>
    <mergeCell ref="M14:O32"/>
    <mergeCell ref="A15:B15"/>
    <mergeCell ref="D15:E15"/>
    <mergeCell ref="G15:H15"/>
    <mergeCell ref="A16:B16"/>
    <mergeCell ref="D16:E16"/>
    <mergeCell ref="G16:H16"/>
    <mergeCell ref="A17:B17"/>
    <mergeCell ref="D17:E17"/>
    <mergeCell ref="G17:H17"/>
    <mergeCell ref="A18:B18"/>
    <mergeCell ref="D18:E18"/>
    <mergeCell ref="G18:H18"/>
    <mergeCell ref="A19:B19"/>
    <mergeCell ref="D19:E19"/>
    <mergeCell ref="A14:B14"/>
    <mergeCell ref="D14:E14"/>
    <mergeCell ref="A22:B22"/>
    <mergeCell ref="D22:E22"/>
    <mergeCell ref="A25:B25"/>
    <mergeCell ref="D25:E25"/>
    <mergeCell ref="A28:B28"/>
    <mergeCell ref="D28:E28"/>
    <mergeCell ref="B1:O1"/>
    <mergeCell ref="A2:B2"/>
    <mergeCell ref="D2:E2"/>
    <mergeCell ref="G2:H2"/>
    <mergeCell ref="N2:O2"/>
    <mergeCell ref="K3:L3"/>
    <mergeCell ref="N3:O3"/>
    <mergeCell ref="M4:O12"/>
    <mergeCell ref="A13:B13"/>
    <mergeCell ref="D13:E13"/>
    <mergeCell ref="G13:H13"/>
    <mergeCell ref="M13:O13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>
      <selection activeCell="B5" sqref="B5"/>
    </sheetView>
  </sheetViews>
  <sheetFormatPr defaultRowHeight="12.75"/>
  <sheetData/>
  <phoneticPr fontId="0" type="noConversion"/>
  <pageMargins left="0.75" right="0.75" top="1" bottom="1" header="0.5" footer="0.5"/>
  <pageSetup paperSize="9" orientation="portrait" r:id="rId1"/>
  <headerFooter alignWithMargins="0"/>
  <legacyDrawing r:id="rId2"/>
  <oleObjects>
    <oleObject progId="Package2" shapeId="1027" r:id="rId3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Anton</cp:lastModifiedBy>
  <dcterms:created xsi:type="dcterms:W3CDTF">1996-10-08T23:32:33Z</dcterms:created>
  <dcterms:modified xsi:type="dcterms:W3CDTF">2018-04-20T18:27:44Z</dcterms:modified>
</cp:coreProperties>
</file>